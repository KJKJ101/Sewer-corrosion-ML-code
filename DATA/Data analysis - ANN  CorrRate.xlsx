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F:\ML2024.01\test\dataset\2025.01.15-jiang数据\"/>
    </mc:Choice>
  </mc:AlternateContent>
  <xr:revisionPtr revIDLastSave="0" documentId="13_ncr:1_{CB93EBEC-8A06-471E-8B96-9B0ECB2C0E76}" xr6:coauthVersionLast="47" xr6:coauthVersionMax="47" xr10:uidLastSave="{00000000-0000-0000-0000-000000000000}"/>
  <bookViews>
    <workbookView xWindow="-108" yWindow="-108" windowWidth="23256" windowHeight="12576" tabRatio="754" activeTab="2" xr2:uid="{00000000-000D-0000-FFFF-FFFF00000000}"/>
  </bookViews>
  <sheets>
    <sheet name="Raw原始数据" sheetId="1" r:id="rId1"/>
    <sheet name="CorrRate" sheetId="2" r:id="rId2"/>
    <sheet name="CorrRavg" sheetId="4" r:id="rId3"/>
    <sheet name="Lab&amp;Field data" sheetId="8" r:id="rId4"/>
    <sheet name="SP1B data" sheetId="3" r:id="rId5"/>
    <sheet name="ANN performance" sheetId="5" r:id="rId6"/>
    <sheet name="MultiReg" sheetId="6" r:id="rId7"/>
    <sheet name="ANN sensitivity" sheetId="7" r:id="rId8"/>
    <sheet name="Sheet1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1" l="1"/>
  <c r="C151" i="2"/>
  <c r="I2" i="5" l="1"/>
  <c r="J2" i="5"/>
  <c r="K2" i="5"/>
  <c r="I10" i="5"/>
  <c r="J10" i="5"/>
  <c r="I9" i="5"/>
  <c r="J9" i="5"/>
  <c r="I8" i="5"/>
  <c r="J8" i="5"/>
  <c r="I7" i="5"/>
  <c r="J7" i="5"/>
  <c r="I6" i="5"/>
  <c r="J6" i="5"/>
  <c r="K3" i="5" l="1"/>
  <c r="K4" i="5"/>
  <c r="K5" i="5"/>
  <c r="J3" i="5" l="1"/>
  <c r="J4" i="5"/>
  <c r="J5" i="5"/>
  <c r="I3" i="5"/>
  <c r="I4" i="5"/>
  <c r="I5" i="5"/>
  <c r="S59" i="4" l="1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3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2" i="4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</calcChain>
</file>

<file path=xl/sharedStrings.xml><?xml version="1.0" encoding="utf-8"?>
<sst xmlns="http://schemas.openxmlformats.org/spreadsheetml/2006/main" count="426" uniqueCount="109">
  <si>
    <t>Location</t>
  </si>
  <si>
    <t>H2S</t>
  </si>
  <si>
    <t>RH</t>
  </si>
  <si>
    <t>T</t>
  </si>
  <si>
    <t>Y1rate</t>
  </si>
  <si>
    <t>Y2rate</t>
  </si>
  <si>
    <t>Y3rate</t>
  </si>
  <si>
    <t>GPC</t>
  </si>
  <si>
    <t>PSC</t>
  </si>
  <si>
    <t>CorrRate</t>
  </si>
  <si>
    <t>Temperature</t>
  </si>
  <si>
    <t>Ravg</t>
  </si>
  <si>
    <t>Site</t>
  </si>
  <si>
    <t>Melbourne SETS</t>
  </si>
  <si>
    <t>Melbourne WTS</t>
  </si>
  <si>
    <t>Perth MS</t>
  </si>
  <si>
    <t>Perth Bibra Lake</t>
  </si>
  <si>
    <t>Cr Fresh</t>
  </si>
  <si>
    <t>Cr Precorroded</t>
  </si>
  <si>
    <t>Reasons for the discrepency:</t>
  </si>
  <si>
    <t>1. Different conditions in the lab from the field?</t>
  </si>
  <si>
    <t>2. Fluctuation of the conditions in the field, cant use average value for the prediction. Some correction factors need to be used along with AVG values.</t>
  </si>
  <si>
    <t>3. Other unidentified factors.</t>
  </si>
  <si>
    <t>4. Reliability of field environmental data</t>
  </si>
  <si>
    <t>ANC</t>
  </si>
  <si>
    <t>Fresh:</t>
  </si>
  <si>
    <t>Start pH</t>
  </si>
  <si>
    <t>-&gt;</t>
  </si>
  <si>
    <t>Old:</t>
  </si>
  <si>
    <t>mol-H+/kg</t>
  </si>
  <si>
    <t>Coefficients:</t>
  </si>
  <si>
    <t>---</t>
  </si>
  <si>
    <t>Signif. codes:  0 ‘***’ 0.001 ‘**’ 0.01 ‘*’ 0.05 ‘.’ 0.1 ‘ ’ 1</t>
  </si>
  <si>
    <t>Residual standard error: 0.5457 on 67 degrees of freedom</t>
  </si>
  <si>
    <t xml:space="preserve">Multiple R-squared:  0.6091,    Adjusted R-squared:  0.5858 </t>
  </si>
  <si>
    <t>F-statistic:  26.1 on 4 and 67 DF,  p-value: 4.61e-13</t>
  </si>
  <si>
    <t>Estimate</t>
  </si>
  <si>
    <t>Std. Error</t>
  </si>
  <si>
    <t>t value</t>
  </si>
  <si>
    <t>Pr(&gt;|t|)</t>
  </si>
  <si>
    <t>(Intercept)</t>
  </si>
  <si>
    <t>***</t>
  </si>
  <si>
    <t>GAS</t>
  </si>
  <si>
    <t>Coefficients: (1 not defined because of singularities)</t>
  </si>
  <si>
    <t>Residual standard error: 0.2557 on 32 degrees of freedom</t>
  </si>
  <si>
    <t xml:space="preserve">Multiple R-squared:  0.5076,    Adjusted R-squared:  0.4615 </t>
  </si>
  <si>
    <t>F-statistic:    11 on 3 and 32 DF,  p-value: 4.033e-05</t>
  </si>
  <si>
    <t>*</t>
  </si>
  <si>
    <t>**</t>
  </si>
  <si>
    <t>Residual standard error: 0.252 on 33 degrees of freedom</t>
  </si>
  <si>
    <t xml:space="preserve">Multiple R-squared:  0.507,     Adjusted R-squared:  0.4771 </t>
  </si>
  <si>
    <t>F-statistic: 16.97 on 2 and 33 DF,  p-value: 8.544e-06</t>
  </si>
  <si>
    <t>Std.</t>
  </si>
  <si>
    <t>Error</t>
  </si>
  <si>
    <t>t</t>
  </si>
  <si>
    <t>value</t>
  </si>
  <si>
    <t>Submerged</t>
  </si>
  <si>
    <t>Residuals:</t>
  </si>
  <si>
    <t>Min</t>
  </si>
  <si>
    <t>1Q</t>
  </si>
  <si>
    <t>Median</t>
  </si>
  <si>
    <t>3Q</t>
  </si>
  <si>
    <t>Max</t>
  </si>
  <si>
    <t>(1</t>
  </si>
  <si>
    <t>not</t>
  </si>
  <si>
    <t>defined</t>
  </si>
  <si>
    <t>because</t>
  </si>
  <si>
    <t>of</t>
  </si>
  <si>
    <t>singularities)</t>
  </si>
  <si>
    <t>Residual</t>
  </si>
  <si>
    <t>standard</t>
  </si>
  <si>
    <t>error:</t>
  </si>
  <si>
    <t>on</t>
  </si>
  <si>
    <t>degrees</t>
  </si>
  <si>
    <t>freedom</t>
  </si>
  <si>
    <t>Multiple</t>
  </si>
  <si>
    <t>R-squared:</t>
  </si>
  <si>
    <t>Adjusted</t>
  </si>
  <si>
    <t>F-statistic:</t>
  </si>
  <si>
    <t>and</t>
  </si>
  <si>
    <t>DF</t>
  </si>
  <si>
    <t>p-value:</t>
  </si>
  <si>
    <t>MR-Predict</t>
  </si>
  <si>
    <t>ANN-GPC</t>
  </si>
  <si>
    <t>ANN-PSC</t>
  </si>
  <si>
    <t>MR-GPC</t>
  </si>
  <si>
    <t>MR-PSC</t>
  </si>
  <si>
    <t>R-ave</t>
  </si>
  <si>
    <t>Morton</t>
  </si>
  <si>
    <t>P&amp;J (Perth)</t>
  </si>
  <si>
    <t>P&amp;J (Melbourne)</t>
  </si>
  <si>
    <t>Sydney A</t>
  </si>
  <si>
    <t>Sydney B</t>
  </si>
  <si>
    <t>R-LpF</t>
  </si>
  <si>
    <t>GP</t>
  </si>
  <si>
    <t>PS</t>
  </si>
  <si>
    <t>单独类别</t>
    <phoneticPr fontId="5" type="noConversion"/>
  </si>
  <si>
    <t>一共</t>
    <phoneticPr fontId="5" type="noConversion"/>
  </si>
  <si>
    <t>总的</t>
    <phoneticPr fontId="5" type="noConversion"/>
  </si>
  <si>
    <t>单独类别两年</t>
    <phoneticPr fontId="5" type="noConversion"/>
  </si>
  <si>
    <t>单独类别一年</t>
    <phoneticPr fontId="5" type="noConversion"/>
  </si>
  <si>
    <t>72个气</t>
    <phoneticPr fontId="5" type="noConversion"/>
  </si>
  <si>
    <t>72个液</t>
    <phoneticPr fontId="5" type="noConversion"/>
  </si>
  <si>
    <t>第二年和第三年的速率都放进来了</t>
    <phoneticPr fontId="5" type="noConversion"/>
  </si>
  <si>
    <t>72个实验室</t>
    <phoneticPr fontId="5" type="noConversion"/>
  </si>
  <si>
    <t>9个野外实验</t>
    <phoneticPr fontId="5" type="noConversion"/>
  </si>
  <si>
    <t>其他不变只有H2S变，其实类似于PDP思想，但是为啥湿度只有一个值，温度也只有一个值，没有多样化呢？</t>
    <phoneticPr fontId="5" type="noConversion"/>
  </si>
  <si>
    <t>总72数据</t>
    <phoneticPr fontId="5" type="noConversion"/>
  </si>
  <si>
    <t>总72实验室数据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</si>
</sst>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00"/>
  </numFmts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7030A0"/>
      <name val="宋体"/>
      <family val="2"/>
      <scheme val="minor"/>
    </font>
    <font>
      <b/>
      <sz val="11"/>
      <color rgb="FF7030A0"/>
      <name val="宋体"/>
      <family val="2"/>
      <scheme val="minor"/>
    </font>
    <font>
      <sz val="11"/>
      <color rgb="FF00B0F0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2" fontId="1" fillId="0" borderId="1" xfId="0" applyNumberFormat="1" applyFont="1" applyBorder="1"/>
    <xf numFmtId="1" fontId="1" fillId="0" borderId="1" xfId="0" applyNumberFormat="1" applyFont="1" applyBorder="1"/>
    <xf numFmtId="2" fontId="0" fillId="0" borderId="1" xfId="0" applyNumberFormat="1" applyBorder="1"/>
    <xf numFmtId="1" fontId="0" fillId="0" borderId="1" xfId="0" applyNumberFormat="1" applyBorder="1"/>
    <xf numFmtId="2" fontId="0" fillId="0" borderId="0" xfId="0" applyNumberFormat="1"/>
    <xf numFmtId="2" fontId="1" fillId="0" borderId="2" xfId="0" applyNumberFormat="1" applyFont="1" applyBorder="1"/>
    <xf numFmtId="0" fontId="0" fillId="0" borderId="0" xfId="0" quotePrefix="1"/>
    <xf numFmtId="11" fontId="0" fillId="0" borderId="0" xfId="0" applyNumberFormat="1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0" fontId="4" fillId="0" borderId="0" xfId="0" applyFont="1"/>
    <xf numFmtId="11" fontId="4" fillId="0" borderId="0" xfId="0" applyNumberFormat="1" applyFont="1"/>
    <xf numFmtId="1" fontId="1" fillId="0" borderId="2" xfId="0" applyNumberFormat="1" applyFont="1" applyBorder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" fontId="0" fillId="0" borderId="2" xfId="0" applyNumberFormat="1" applyBorder="1"/>
    <xf numFmtId="2" fontId="0" fillId="2" borderId="1" xfId="0" applyNumberFormat="1" applyFill="1" applyBorder="1"/>
    <xf numFmtId="1" fontId="0" fillId="2" borderId="1" xfId="0" applyNumberFormat="1" applyFill="1" applyBorder="1"/>
    <xf numFmtId="0" fontId="0" fillId="2" borderId="0" xfId="0" applyFill="1"/>
    <xf numFmtId="2" fontId="0" fillId="3" borderId="1" xfId="0" applyNumberFormat="1" applyFill="1" applyBorder="1"/>
    <xf numFmtId="1" fontId="0" fillId="3" borderId="1" xfId="0" applyNumberFormat="1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CorrRavg!$F$2:$F$37</c:f>
              <c:numCache>
                <c:formatCode>0.00</c:formatCode>
                <c:ptCount val="36"/>
                <c:pt idx="0">
                  <c:v>1.4951564114722418</c:v>
                </c:pt>
                <c:pt idx="1">
                  <c:v>1.6256022247097128</c:v>
                </c:pt>
                <c:pt idx="2">
                  <c:v>1.5603792131930609</c:v>
                </c:pt>
                <c:pt idx="3">
                  <c:v>1.5967191434455525</c:v>
                </c:pt>
                <c:pt idx="4">
                  <c:v>1.6175301225929515</c:v>
                </c:pt>
                <c:pt idx="5">
                  <c:v>1.2519677054411074</c:v>
                </c:pt>
                <c:pt idx="6">
                  <c:v>1.0415096296228017</c:v>
                </c:pt>
                <c:pt idx="7">
                  <c:v>1.329941534309081</c:v>
                </c:pt>
                <c:pt idx="8">
                  <c:v>1.5660008299004491</c:v>
                </c:pt>
                <c:pt idx="9">
                  <c:v>1.3981551606864167</c:v>
                </c:pt>
                <c:pt idx="10">
                  <c:v>1.0207994571220553</c:v>
                </c:pt>
                <c:pt idx="11">
                  <c:v>1.4019870621779329</c:v>
                </c:pt>
                <c:pt idx="12">
                  <c:v>1.1434045919062215</c:v>
                </c:pt>
                <c:pt idx="13">
                  <c:v>0.84012622513421564</c:v>
                </c:pt>
                <c:pt idx="14">
                  <c:v>0.70524862630350782</c:v>
                </c:pt>
                <c:pt idx="15">
                  <c:v>0.5700497228926924</c:v>
                </c:pt>
                <c:pt idx="16">
                  <c:v>0.82661676212181745</c:v>
                </c:pt>
                <c:pt idx="17">
                  <c:v>0.90713349509606644</c:v>
                </c:pt>
                <c:pt idx="18">
                  <c:v>1.2991629784774201</c:v>
                </c:pt>
                <c:pt idx="19">
                  <c:v>1.0391822168993909</c:v>
                </c:pt>
                <c:pt idx="20">
                  <c:v>1.0640318110809481</c:v>
                </c:pt>
                <c:pt idx="21">
                  <c:v>1.5005227362337843</c:v>
                </c:pt>
                <c:pt idx="22">
                  <c:v>0.64470129360374395</c:v>
                </c:pt>
                <c:pt idx="23">
                  <c:v>1.4548277924871202</c:v>
                </c:pt>
                <c:pt idx="24">
                  <c:v>0.58618824005664039</c:v>
                </c:pt>
                <c:pt idx="25">
                  <c:v>0.88366086342247452</c:v>
                </c:pt>
                <c:pt idx="26">
                  <c:v>0.87068996277145272</c:v>
                </c:pt>
                <c:pt idx="27">
                  <c:v>1.0420788245442298</c:v>
                </c:pt>
                <c:pt idx="28">
                  <c:v>0.94439401909988319</c:v>
                </c:pt>
                <c:pt idx="29">
                  <c:v>0.97205592432898746</c:v>
                </c:pt>
                <c:pt idx="30">
                  <c:v>0.65088822705975802</c:v>
                </c:pt>
                <c:pt idx="31">
                  <c:v>0.85667526883113077</c:v>
                </c:pt>
                <c:pt idx="32">
                  <c:v>0.46665137254901956</c:v>
                </c:pt>
                <c:pt idx="33">
                  <c:v>0.58835769883386702</c:v>
                </c:pt>
                <c:pt idx="34">
                  <c:v>0.72152910906739365</c:v>
                </c:pt>
                <c:pt idx="35">
                  <c:v>1.0689749177046481</c:v>
                </c:pt>
              </c:numCache>
            </c:numRef>
          </c:xVal>
          <c:yVal>
            <c:numRef>
              <c:f>CorrRavg!$G$2:$G$37</c:f>
              <c:numCache>
                <c:formatCode>0.0000</c:formatCode>
                <c:ptCount val="36"/>
                <c:pt idx="0">
                  <c:v>1.602927</c:v>
                </c:pt>
                <c:pt idx="1">
                  <c:v>1.602927</c:v>
                </c:pt>
                <c:pt idx="2">
                  <c:v>1.602927</c:v>
                </c:pt>
                <c:pt idx="3">
                  <c:v>1.306627</c:v>
                </c:pt>
                <c:pt idx="4">
                  <c:v>1.306627</c:v>
                </c:pt>
                <c:pt idx="5">
                  <c:v>1.306627</c:v>
                </c:pt>
                <c:pt idx="6">
                  <c:v>1.188107</c:v>
                </c:pt>
                <c:pt idx="7">
                  <c:v>1.188107</c:v>
                </c:pt>
                <c:pt idx="8">
                  <c:v>1.188107</c:v>
                </c:pt>
                <c:pt idx="9">
                  <c:v>1.1288469999999999</c:v>
                </c:pt>
                <c:pt idx="10">
                  <c:v>1.1288469999999999</c:v>
                </c:pt>
                <c:pt idx="11">
                  <c:v>1.1288469999999999</c:v>
                </c:pt>
                <c:pt idx="12">
                  <c:v>1.0695870000000001</c:v>
                </c:pt>
                <c:pt idx="13">
                  <c:v>1.0695870000000001</c:v>
                </c:pt>
                <c:pt idx="14">
                  <c:v>1.0695870000000001</c:v>
                </c:pt>
                <c:pt idx="15">
                  <c:v>1.010327</c:v>
                </c:pt>
                <c:pt idx="16">
                  <c:v>1.010327</c:v>
                </c:pt>
                <c:pt idx="17">
                  <c:v>1.010327</c:v>
                </c:pt>
                <c:pt idx="18">
                  <c:v>1.3095969999999999</c:v>
                </c:pt>
                <c:pt idx="19">
                  <c:v>1.3095969999999999</c:v>
                </c:pt>
                <c:pt idx="20">
                  <c:v>1.3095969999999999</c:v>
                </c:pt>
                <c:pt idx="21">
                  <c:v>1.0132969999999999</c:v>
                </c:pt>
                <c:pt idx="22">
                  <c:v>1.0132969999999999</c:v>
                </c:pt>
                <c:pt idx="23">
                  <c:v>1.0132969999999999</c:v>
                </c:pt>
                <c:pt idx="24">
                  <c:v>0.89477699999999993</c:v>
                </c:pt>
                <c:pt idx="25">
                  <c:v>0.89477699999999993</c:v>
                </c:pt>
                <c:pt idx="26">
                  <c:v>0.89477699999999993</c:v>
                </c:pt>
                <c:pt idx="27">
                  <c:v>0.83551699999999984</c:v>
                </c:pt>
                <c:pt idx="28">
                  <c:v>0.83551699999999984</c:v>
                </c:pt>
                <c:pt idx="29">
                  <c:v>0.83551699999999984</c:v>
                </c:pt>
                <c:pt idx="30">
                  <c:v>0.77625699999999997</c:v>
                </c:pt>
                <c:pt idx="31">
                  <c:v>0.77625699999999997</c:v>
                </c:pt>
                <c:pt idx="32">
                  <c:v>0.77625699999999997</c:v>
                </c:pt>
                <c:pt idx="33">
                  <c:v>0.71699699999999988</c:v>
                </c:pt>
                <c:pt idx="34">
                  <c:v>0.71699699999999988</c:v>
                </c:pt>
                <c:pt idx="35">
                  <c:v>0.71699699999999988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C-4AB5-A267-3B2272065D74}"/>
            </c:ext>
          </c:extLst>
        </c:ser>
        <c:ser>
          <c:idx val="1"/>
          <c:order val="1"/>
          <c:tx>
            <c:v>Submerged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CorrRavg!$F$38:$F$73</c:f>
              <c:numCache>
                <c:formatCode>0.00</c:formatCode>
                <c:ptCount val="36"/>
                <c:pt idx="0">
                  <c:v>3.7563795728216371</c:v>
                </c:pt>
                <c:pt idx="1">
                  <c:v>3.9201194074340142</c:v>
                </c:pt>
                <c:pt idx="2">
                  <c:v>2.3598615686274504</c:v>
                </c:pt>
                <c:pt idx="3">
                  <c:v>2.0725688941923157</c:v>
                </c:pt>
                <c:pt idx="4">
                  <c:v>2.6820770504879485</c:v>
                </c:pt>
                <c:pt idx="5">
                  <c:v>3.0094200756984786</c:v>
                </c:pt>
                <c:pt idx="6">
                  <c:v>1.8768141125498954</c:v>
                </c:pt>
                <c:pt idx="7">
                  <c:v>2.2036007602988485</c:v>
                </c:pt>
                <c:pt idx="8">
                  <c:v>0.5352209660539009</c:v>
                </c:pt>
                <c:pt idx="9">
                  <c:v>1.5257981130059446</c:v>
                </c:pt>
                <c:pt idx="10">
                  <c:v>1.5178214010812767</c:v>
                </c:pt>
                <c:pt idx="11">
                  <c:v>2.2313573621680218</c:v>
                </c:pt>
                <c:pt idx="12">
                  <c:v>1.2520239261455526</c:v>
                </c:pt>
                <c:pt idx="13">
                  <c:v>1.3068992782221878</c:v>
                </c:pt>
                <c:pt idx="14">
                  <c:v>1.9465389596709888</c:v>
                </c:pt>
                <c:pt idx="15">
                  <c:v>0.53255058823529422</c:v>
                </c:pt>
                <c:pt idx="16">
                  <c:v>0.63018438209418681</c:v>
                </c:pt>
                <c:pt idx="17">
                  <c:v>1.1458766801227607</c:v>
                </c:pt>
                <c:pt idx="18">
                  <c:v>2.6279055932599023</c:v>
                </c:pt>
                <c:pt idx="19">
                  <c:v>3.5750397097590687</c:v>
                </c:pt>
                <c:pt idx="20">
                  <c:v>2.8437081200839076</c:v>
                </c:pt>
                <c:pt idx="21">
                  <c:v>3.0713464791946015</c:v>
                </c:pt>
                <c:pt idx="22">
                  <c:v>2.4915974509803922</c:v>
                </c:pt>
                <c:pt idx="23">
                  <c:v>3.3221849890934925</c:v>
                </c:pt>
                <c:pt idx="24">
                  <c:v>1.2561104992424437</c:v>
                </c:pt>
                <c:pt idx="25">
                  <c:v>1.7209025681447656</c:v>
                </c:pt>
                <c:pt idx="26">
                  <c:v>3.2997994060893774</c:v>
                </c:pt>
                <c:pt idx="27">
                  <c:v>1.8219351841685956</c:v>
                </c:pt>
                <c:pt idx="28">
                  <c:v>1.7800068579088575</c:v>
                </c:pt>
                <c:pt idx="29">
                  <c:v>1.7188609862598438</c:v>
                </c:pt>
                <c:pt idx="30">
                  <c:v>0.75294392156862722</c:v>
                </c:pt>
                <c:pt idx="31">
                  <c:v>1.2055672703391616</c:v>
                </c:pt>
                <c:pt idx="32">
                  <c:v>2.3635082296380867</c:v>
                </c:pt>
                <c:pt idx="33">
                  <c:v>0.81704588235294096</c:v>
                </c:pt>
                <c:pt idx="34">
                  <c:v>0.66332669402334354</c:v>
                </c:pt>
                <c:pt idx="35">
                  <c:v>1.3428411802363232</c:v>
                </c:pt>
              </c:numCache>
            </c:numRef>
          </c:xVal>
          <c:yVal>
            <c:numRef>
              <c:f>CorrRavg!$G$38:$G$73</c:f>
              <c:numCache>
                <c:formatCode>0.0000</c:formatCode>
                <c:ptCount val="36"/>
                <c:pt idx="0">
                  <c:v>3.4274179999999999</c:v>
                </c:pt>
                <c:pt idx="1">
                  <c:v>3.4274179999999999</c:v>
                </c:pt>
                <c:pt idx="2">
                  <c:v>3.4274179999999999</c:v>
                </c:pt>
                <c:pt idx="3">
                  <c:v>2.312093</c:v>
                </c:pt>
                <c:pt idx="4">
                  <c:v>2.312093</c:v>
                </c:pt>
                <c:pt idx="5">
                  <c:v>2.312093</c:v>
                </c:pt>
                <c:pt idx="6">
                  <c:v>1.865963</c:v>
                </c:pt>
                <c:pt idx="7">
                  <c:v>1.865963</c:v>
                </c:pt>
                <c:pt idx="8">
                  <c:v>1.865963</c:v>
                </c:pt>
                <c:pt idx="9">
                  <c:v>1.6428980000000002</c:v>
                </c:pt>
                <c:pt idx="10">
                  <c:v>1.6428980000000002</c:v>
                </c:pt>
                <c:pt idx="11">
                  <c:v>1.6428980000000002</c:v>
                </c:pt>
                <c:pt idx="12">
                  <c:v>1.4198330000000001</c:v>
                </c:pt>
                <c:pt idx="13">
                  <c:v>1.4198330000000001</c:v>
                </c:pt>
                <c:pt idx="14">
                  <c:v>1.4198330000000001</c:v>
                </c:pt>
                <c:pt idx="15">
                  <c:v>1.1967680000000001</c:v>
                </c:pt>
                <c:pt idx="16">
                  <c:v>1.1967680000000001</c:v>
                </c:pt>
                <c:pt idx="17">
                  <c:v>1.1967680000000001</c:v>
                </c:pt>
                <c:pt idx="18">
                  <c:v>3.4274179999999999</c:v>
                </c:pt>
                <c:pt idx="19">
                  <c:v>3.4274179999999999</c:v>
                </c:pt>
                <c:pt idx="20">
                  <c:v>3.4274179999999999</c:v>
                </c:pt>
                <c:pt idx="21">
                  <c:v>2.312093</c:v>
                </c:pt>
                <c:pt idx="22">
                  <c:v>2.312093</c:v>
                </c:pt>
                <c:pt idx="23">
                  <c:v>2.312093</c:v>
                </c:pt>
                <c:pt idx="24">
                  <c:v>1.865963</c:v>
                </c:pt>
                <c:pt idx="25">
                  <c:v>1.865963</c:v>
                </c:pt>
                <c:pt idx="26">
                  <c:v>1.865963</c:v>
                </c:pt>
                <c:pt idx="27">
                  <c:v>1.6428980000000002</c:v>
                </c:pt>
                <c:pt idx="28">
                  <c:v>1.6428980000000002</c:v>
                </c:pt>
                <c:pt idx="29">
                  <c:v>1.6428980000000002</c:v>
                </c:pt>
                <c:pt idx="30">
                  <c:v>1.4198330000000001</c:v>
                </c:pt>
                <c:pt idx="31">
                  <c:v>1.4198330000000001</c:v>
                </c:pt>
                <c:pt idx="32">
                  <c:v>1.4198330000000001</c:v>
                </c:pt>
                <c:pt idx="33">
                  <c:v>1.1967680000000001</c:v>
                </c:pt>
                <c:pt idx="34">
                  <c:v>1.1967680000000001</c:v>
                </c:pt>
                <c:pt idx="35">
                  <c:v>1.1967680000000001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C-4AB5-A267-3B2272065D74}"/>
            </c:ext>
          </c:extLst>
        </c:ser>
        <c:ser>
          <c:idx val="2"/>
          <c:order val="2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F0C-4AB5-A267-3B2272065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917432"/>
        <c:axId val="276917824"/>
      </c:scatterChart>
      <c:valAx>
        <c:axId val="276917432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17824"/>
        <c:crosses val="autoZero"/>
        <c:crossBetween val="midCat"/>
      </c:valAx>
      <c:valAx>
        <c:axId val="276917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1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Submerged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1"/>
            <c:dispEq val="0"/>
            <c:trendlineLbl>
              <c:layout>
                <c:manualLayout>
                  <c:x val="-0.44574999999999998"/>
                  <c:y val="0.306666666666666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CorrRavg!$F$2:$F$73</c:f>
              <c:numCache>
                <c:formatCode>0.00</c:formatCode>
                <c:ptCount val="72"/>
                <c:pt idx="0">
                  <c:v>1.4951564114722418</c:v>
                </c:pt>
                <c:pt idx="1">
                  <c:v>1.6256022247097128</c:v>
                </c:pt>
                <c:pt idx="2">
                  <c:v>1.5603792131930609</c:v>
                </c:pt>
                <c:pt idx="3">
                  <c:v>1.5967191434455525</c:v>
                </c:pt>
                <c:pt idx="4">
                  <c:v>1.6175301225929515</c:v>
                </c:pt>
                <c:pt idx="5">
                  <c:v>1.2519677054411074</c:v>
                </c:pt>
                <c:pt idx="6">
                  <c:v>1.0415096296228017</c:v>
                </c:pt>
                <c:pt idx="7">
                  <c:v>1.329941534309081</c:v>
                </c:pt>
                <c:pt idx="8">
                  <c:v>1.5660008299004491</c:v>
                </c:pt>
                <c:pt idx="9">
                  <c:v>1.3981551606864167</c:v>
                </c:pt>
                <c:pt idx="10">
                  <c:v>1.0207994571220553</c:v>
                </c:pt>
                <c:pt idx="11">
                  <c:v>1.4019870621779329</c:v>
                </c:pt>
                <c:pt idx="12">
                  <c:v>1.1434045919062215</c:v>
                </c:pt>
                <c:pt idx="13">
                  <c:v>0.84012622513421564</c:v>
                </c:pt>
                <c:pt idx="14">
                  <c:v>0.70524862630350782</c:v>
                </c:pt>
                <c:pt idx="15">
                  <c:v>0.5700497228926924</c:v>
                </c:pt>
                <c:pt idx="16">
                  <c:v>0.82661676212181745</c:v>
                </c:pt>
                <c:pt idx="17">
                  <c:v>0.90713349509606644</c:v>
                </c:pt>
                <c:pt idx="18">
                  <c:v>1.2991629784774201</c:v>
                </c:pt>
                <c:pt idx="19">
                  <c:v>1.0391822168993909</c:v>
                </c:pt>
                <c:pt idx="20">
                  <c:v>1.0640318110809481</c:v>
                </c:pt>
                <c:pt idx="21">
                  <c:v>1.5005227362337843</c:v>
                </c:pt>
                <c:pt idx="22">
                  <c:v>0.64470129360374395</c:v>
                </c:pt>
                <c:pt idx="23">
                  <c:v>1.4548277924871202</c:v>
                </c:pt>
                <c:pt idx="24">
                  <c:v>0.58618824005664039</c:v>
                </c:pt>
                <c:pt idx="25">
                  <c:v>0.88366086342247452</c:v>
                </c:pt>
                <c:pt idx="26">
                  <c:v>0.87068996277145272</c:v>
                </c:pt>
                <c:pt idx="27">
                  <c:v>1.0420788245442298</c:v>
                </c:pt>
                <c:pt idx="28">
                  <c:v>0.94439401909988319</c:v>
                </c:pt>
                <c:pt idx="29">
                  <c:v>0.97205592432898746</c:v>
                </c:pt>
                <c:pt idx="30">
                  <c:v>0.65088822705975802</c:v>
                </c:pt>
                <c:pt idx="31">
                  <c:v>0.85667526883113077</c:v>
                </c:pt>
                <c:pt idx="32">
                  <c:v>0.46665137254901956</c:v>
                </c:pt>
                <c:pt idx="33">
                  <c:v>0.58835769883386702</c:v>
                </c:pt>
                <c:pt idx="34">
                  <c:v>0.72152910906739365</c:v>
                </c:pt>
                <c:pt idx="35">
                  <c:v>1.0689749177046481</c:v>
                </c:pt>
                <c:pt idx="36">
                  <c:v>3.7563795728216371</c:v>
                </c:pt>
                <c:pt idx="37">
                  <c:v>3.9201194074340142</c:v>
                </c:pt>
                <c:pt idx="38">
                  <c:v>2.3598615686274504</c:v>
                </c:pt>
                <c:pt idx="39">
                  <c:v>2.0725688941923157</c:v>
                </c:pt>
                <c:pt idx="40">
                  <c:v>2.6820770504879485</c:v>
                </c:pt>
                <c:pt idx="41">
                  <c:v>3.0094200756984786</c:v>
                </c:pt>
                <c:pt idx="42">
                  <c:v>1.8768141125498954</c:v>
                </c:pt>
                <c:pt idx="43">
                  <c:v>2.2036007602988485</c:v>
                </c:pt>
                <c:pt idx="44">
                  <c:v>0.5352209660539009</c:v>
                </c:pt>
                <c:pt idx="45">
                  <c:v>1.5257981130059446</c:v>
                </c:pt>
                <c:pt idx="46">
                  <c:v>1.5178214010812767</c:v>
                </c:pt>
                <c:pt idx="47">
                  <c:v>2.2313573621680218</c:v>
                </c:pt>
                <c:pt idx="48">
                  <c:v>1.2520239261455526</c:v>
                </c:pt>
                <c:pt idx="49">
                  <c:v>1.3068992782221878</c:v>
                </c:pt>
                <c:pt idx="50">
                  <c:v>1.9465389596709888</c:v>
                </c:pt>
                <c:pt idx="51">
                  <c:v>0.53255058823529422</c:v>
                </c:pt>
                <c:pt idx="52">
                  <c:v>0.63018438209418681</c:v>
                </c:pt>
                <c:pt idx="53">
                  <c:v>1.1458766801227607</c:v>
                </c:pt>
                <c:pt idx="54">
                  <c:v>2.6279055932599023</c:v>
                </c:pt>
                <c:pt idx="55">
                  <c:v>3.5750397097590687</c:v>
                </c:pt>
                <c:pt idx="56">
                  <c:v>2.8437081200839076</c:v>
                </c:pt>
                <c:pt idx="57">
                  <c:v>3.0713464791946015</c:v>
                </c:pt>
                <c:pt idx="58">
                  <c:v>2.4915974509803922</c:v>
                </c:pt>
                <c:pt idx="59">
                  <c:v>3.3221849890934925</c:v>
                </c:pt>
                <c:pt idx="60">
                  <c:v>1.2561104992424437</c:v>
                </c:pt>
                <c:pt idx="61">
                  <c:v>1.7209025681447656</c:v>
                </c:pt>
                <c:pt idx="62">
                  <c:v>3.2997994060893774</c:v>
                </c:pt>
                <c:pt idx="63">
                  <c:v>1.8219351841685956</c:v>
                </c:pt>
                <c:pt idx="64">
                  <c:v>1.7800068579088575</c:v>
                </c:pt>
                <c:pt idx="65">
                  <c:v>1.7188609862598438</c:v>
                </c:pt>
                <c:pt idx="66">
                  <c:v>0.75294392156862722</c:v>
                </c:pt>
                <c:pt idx="67">
                  <c:v>1.2055672703391616</c:v>
                </c:pt>
                <c:pt idx="68">
                  <c:v>2.3635082296380867</c:v>
                </c:pt>
                <c:pt idx="69">
                  <c:v>0.81704588235294096</c:v>
                </c:pt>
                <c:pt idx="70">
                  <c:v>0.66332669402334354</c:v>
                </c:pt>
                <c:pt idx="71">
                  <c:v>1.3428411802363232</c:v>
                </c:pt>
              </c:numCache>
            </c:numRef>
          </c:xVal>
          <c:yVal>
            <c:numRef>
              <c:f>CorrRavg!$G$2:$G$73</c:f>
              <c:numCache>
                <c:formatCode>0.0000</c:formatCode>
                <c:ptCount val="72"/>
                <c:pt idx="0">
                  <c:v>1.602927</c:v>
                </c:pt>
                <c:pt idx="1">
                  <c:v>1.602927</c:v>
                </c:pt>
                <c:pt idx="2">
                  <c:v>1.602927</c:v>
                </c:pt>
                <c:pt idx="3">
                  <c:v>1.306627</c:v>
                </c:pt>
                <c:pt idx="4">
                  <c:v>1.306627</c:v>
                </c:pt>
                <c:pt idx="5">
                  <c:v>1.306627</c:v>
                </c:pt>
                <c:pt idx="6">
                  <c:v>1.188107</c:v>
                </c:pt>
                <c:pt idx="7">
                  <c:v>1.188107</c:v>
                </c:pt>
                <c:pt idx="8">
                  <c:v>1.188107</c:v>
                </c:pt>
                <c:pt idx="9">
                  <c:v>1.1288469999999999</c:v>
                </c:pt>
                <c:pt idx="10">
                  <c:v>1.1288469999999999</c:v>
                </c:pt>
                <c:pt idx="11">
                  <c:v>1.1288469999999999</c:v>
                </c:pt>
                <c:pt idx="12">
                  <c:v>1.0695870000000001</c:v>
                </c:pt>
                <c:pt idx="13">
                  <c:v>1.0695870000000001</c:v>
                </c:pt>
                <c:pt idx="14">
                  <c:v>1.0695870000000001</c:v>
                </c:pt>
                <c:pt idx="15">
                  <c:v>1.010327</c:v>
                </c:pt>
                <c:pt idx="16">
                  <c:v>1.010327</c:v>
                </c:pt>
                <c:pt idx="17">
                  <c:v>1.010327</c:v>
                </c:pt>
                <c:pt idx="18">
                  <c:v>1.3095969999999999</c:v>
                </c:pt>
                <c:pt idx="19">
                  <c:v>1.3095969999999999</c:v>
                </c:pt>
                <c:pt idx="20">
                  <c:v>1.3095969999999999</c:v>
                </c:pt>
                <c:pt idx="21">
                  <c:v>1.0132969999999999</c:v>
                </c:pt>
                <c:pt idx="22">
                  <c:v>1.0132969999999999</c:v>
                </c:pt>
                <c:pt idx="23">
                  <c:v>1.0132969999999999</c:v>
                </c:pt>
                <c:pt idx="24">
                  <c:v>0.89477699999999993</c:v>
                </c:pt>
                <c:pt idx="25">
                  <c:v>0.89477699999999993</c:v>
                </c:pt>
                <c:pt idx="26">
                  <c:v>0.89477699999999993</c:v>
                </c:pt>
                <c:pt idx="27">
                  <c:v>0.83551699999999984</c:v>
                </c:pt>
                <c:pt idx="28">
                  <c:v>0.83551699999999984</c:v>
                </c:pt>
                <c:pt idx="29">
                  <c:v>0.83551699999999984</c:v>
                </c:pt>
                <c:pt idx="30">
                  <c:v>0.77625699999999997</c:v>
                </c:pt>
                <c:pt idx="31">
                  <c:v>0.77625699999999997</c:v>
                </c:pt>
                <c:pt idx="32">
                  <c:v>0.77625699999999997</c:v>
                </c:pt>
                <c:pt idx="33">
                  <c:v>0.71699699999999988</c:v>
                </c:pt>
                <c:pt idx="34">
                  <c:v>0.71699699999999988</c:v>
                </c:pt>
                <c:pt idx="35">
                  <c:v>0.71699699999999988</c:v>
                </c:pt>
                <c:pt idx="36">
                  <c:v>3.4274179999999999</c:v>
                </c:pt>
                <c:pt idx="37">
                  <c:v>3.4274179999999999</c:v>
                </c:pt>
                <c:pt idx="38">
                  <c:v>3.4274179999999999</c:v>
                </c:pt>
                <c:pt idx="39">
                  <c:v>2.312093</c:v>
                </c:pt>
                <c:pt idx="40">
                  <c:v>2.312093</c:v>
                </c:pt>
                <c:pt idx="41">
                  <c:v>2.312093</c:v>
                </c:pt>
                <c:pt idx="42">
                  <c:v>1.865963</c:v>
                </c:pt>
                <c:pt idx="43">
                  <c:v>1.865963</c:v>
                </c:pt>
                <c:pt idx="44">
                  <c:v>1.865963</c:v>
                </c:pt>
                <c:pt idx="45">
                  <c:v>1.6428980000000002</c:v>
                </c:pt>
                <c:pt idx="46">
                  <c:v>1.6428980000000002</c:v>
                </c:pt>
                <c:pt idx="47">
                  <c:v>1.6428980000000002</c:v>
                </c:pt>
                <c:pt idx="48">
                  <c:v>1.4198330000000001</c:v>
                </c:pt>
                <c:pt idx="49">
                  <c:v>1.4198330000000001</c:v>
                </c:pt>
                <c:pt idx="50">
                  <c:v>1.4198330000000001</c:v>
                </c:pt>
                <c:pt idx="51">
                  <c:v>1.1967680000000001</c:v>
                </c:pt>
                <c:pt idx="52">
                  <c:v>1.1967680000000001</c:v>
                </c:pt>
                <c:pt idx="53">
                  <c:v>1.1967680000000001</c:v>
                </c:pt>
                <c:pt idx="54">
                  <c:v>3.4274179999999999</c:v>
                </c:pt>
                <c:pt idx="55">
                  <c:v>3.4274179999999999</c:v>
                </c:pt>
                <c:pt idx="56">
                  <c:v>3.4274179999999999</c:v>
                </c:pt>
                <c:pt idx="57">
                  <c:v>2.312093</c:v>
                </c:pt>
                <c:pt idx="58">
                  <c:v>2.312093</c:v>
                </c:pt>
                <c:pt idx="59">
                  <c:v>2.312093</c:v>
                </c:pt>
                <c:pt idx="60">
                  <c:v>1.865963</c:v>
                </c:pt>
                <c:pt idx="61">
                  <c:v>1.865963</c:v>
                </c:pt>
                <c:pt idx="62">
                  <c:v>1.865963</c:v>
                </c:pt>
                <c:pt idx="63">
                  <c:v>1.6428980000000002</c:v>
                </c:pt>
                <c:pt idx="64">
                  <c:v>1.6428980000000002</c:v>
                </c:pt>
                <c:pt idx="65">
                  <c:v>1.6428980000000002</c:v>
                </c:pt>
                <c:pt idx="66">
                  <c:v>1.4198330000000001</c:v>
                </c:pt>
                <c:pt idx="67">
                  <c:v>1.4198330000000001</c:v>
                </c:pt>
                <c:pt idx="68">
                  <c:v>1.4198330000000001</c:v>
                </c:pt>
                <c:pt idx="69">
                  <c:v>1.1967680000000001</c:v>
                </c:pt>
                <c:pt idx="70">
                  <c:v>1.1967680000000001</c:v>
                </c:pt>
                <c:pt idx="71">
                  <c:v>1.1967680000000001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66-495B-9B09-43E7DD28B116}"/>
            </c:ext>
          </c:extLst>
        </c:ser>
        <c:ser>
          <c:idx val="2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766-495B-9B09-43E7DD28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918608"/>
        <c:axId val="276919000"/>
      </c:scatterChart>
      <c:valAx>
        <c:axId val="276918608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19000"/>
        <c:crosses val="autoZero"/>
        <c:crossBetween val="midCat"/>
      </c:valAx>
      <c:valAx>
        <c:axId val="27691900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1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85564304461941"/>
          <c:y val="0.10763881064946375"/>
          <c:w val="0.79811975708918736"/>
          <c:h val="0.73997499120241117"/>
        </c:manualLayout>
      </c:layout>
      <c:scatterChart>
        <c:scatterStyle val="lineMarker"/>
        <c:varyColors val="0"/>
        <c:ser>
          <c:idx val="1"/>
          <c:order val="0"/>
          <c:tx>
            <c:v>ANN predictions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'ANN performance'!$K$2:$K$10</c:f>
              <c:numCache>
                <c:formatCode>General</c:formatCode>
                <c:ptCount val="9"/>
                <c:pt idx="0">
                  <c:v>0.85000000000000009</c:v>
                </c:pt>
                <c:pt idx="1">
                  <c:v>6.3</c:v>
                </c:pt>
                <c:pt idx="2">
                  <c:v>10.899999999999999</c:v>
                </c:pt>
                <c:pt idx="3">
                  <c:v>5.4</c:v>
                </c:pt>
                <c:pt idx="4">
                  <c:v>3.5</c:v>
                </c:pt>
                <c:pt idx="5">
                  <c:v>1.1000000000000001</c:v>
                </c:pt>
                <c:pt idx="6">
                  <c:v>4.4000000000000004</c:v>
                </c:pt>
                <c:pt idx="7">
                  <c:v>0.6</c:v>
                </c:pt>
                <c:pt idx="8">
                  <c:v>0.7</c:v>
                </c:pt>
              </c:numCache>
            </c:numRef>
          </c:xVal>
          <c:yVal>
            <c:numRef>
              <c:f>'ANN performance'!$G$2:$G$10</c:f>
              <c:numCache>
                <c:formatCode>0.00</c:formatCode>
                <c:ptCount val="9"/>
                <c:pt idx="0">
                  <c:v>0.73127485447707397</c:v>
                </c:pt>
                <c:pt idx="1">
                  <c:v>0.87527724106875204</c:v>
                </c:pt>
                <c:pt idx="2">
                  <c:v>3.4009538623660802</c:v>
                </c:pt>
                <c:pt idx="3">
                  <c:v>3.4567331081764099</c:v>
                </c:pt>
                <c:pt idx="4">
                  <c:v>1.1700031597106999</c:v>
                </c:pt>
                <c:pt idx="5">
                  <c:v>1.0196957918654499</c:v>
                </c:pt>
                <c:pt idx="6">
                  <c:v>3.4368460040890199</c:v>
                </c:pt>
                <c:pt idx="7">
                  <c:v>0.82572505384945605</c:v>
                </c:pt>
                <c:pt idx="8">
                  <c:v>0.80243201153621102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9-4295-B411-8DF4FDBB0449}"/>
            </c:ext>
          </c:extLst>
        </c:ser>
        <c:ser>
          <c:idx val="2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D49-4295-B411-8DF4FDBB0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187048"/>
        <c:axId val="279187440"/>
      </c:scatterChart>
      <c:valAx>
        <c:axId val="279187048"/>
        <c:scaling>
          <c:orientation val="minMax"/>
          <c:max val="1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r</a:t>
                </a:r>
                <a:r>
                  <a:rPr lang="en-US"/>
                  <a:t> (mm/year, field measurements)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79187440"/>
        <c:crosses val="autoZero"/>
        <c:crossBetween val="midCat"/>
        <c:majorUnit val="3"/>
      </c:valAx>
      <c:valAx>
        <c:axId val="279187440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1" u="none" strike="noStrike" baseline="0">
                    <a:effectLst/>
                  </a:rPr>
                  <a:t>r </a:t>
                </a:r>
                <a:r>
                  <a:rPr lang="en-US"/>
                  <a:t>(mm/year, model predictions)</a:t>
                </a:r>
                <a:endParaRPr lang="en-AU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79187048"/>
        <c:crosses val="autoZero"/>
        <c:crossBetween val="midCat"/>
        <c:majorUnit val="3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85564304461941"/>
          <c:y val="0.10763881064946375"/>
          <c:w val="0.79811975708918736"/>
          <c:h val="0.73997499120241117"/>
        </c:manualLayout>
      </c:layout>
      <c:scatterChart>
        <c:scatterStyle val="lineMarker"/>
        <c:varyColors val="0"/>
        <c:ser>
          <c:idx val="2"/>
          <c:order val="0"/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BD1-45D3-A906-AA52759C7055}"/>
            </c:ext>
          </c:extLst>
        </c:ser>
        <c:ser>
          <c:idx val="3"/>
          <c:order val="1"/>
          <c:tx>
            <c:strRef>
              <c:f>'ANN performance'!$I$1</c:f>
              <c:strCache>
                <c:ptCount val="1"/>
                <c:pt idx="0">
                  <c:v>MR-GPC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'ANN performance'!$K$2:$K$10</c:f>
              <c:numCache>
                <c:formatCode>General</c:formatCode>
                <c:ptCount val="9"/>
                <c:pt idx="0">
                  <c:v>0.85000000000000009</c:v>
                </c:pt>
                <c:pt idx="1">
                  <c:v>6.3</c:v>
                </c:pt>
                <c:pt idx="2">
                  <c:v>10.899999999999999</c:v>
                </c:pt>
                <c:pt idx="3">
                  <c:v>5.4</c:v>
                </c:pt>
                <c:pt idx="4">
                  <c:v>3.5</c:v>
                </c:pt>
                <c:pt idx="5">
                  <c:v>1.1000000000000001</c:v>
                </c:pt>
                <c:pt idx="6">
                  <c:v>4.4000000000000004</c:v>
                </c:pt>
                <c:pt idx="7">
                  <c:v>0.6</c:v>
                </c:pt>
                <c:pt idx="8">
                  <c:v>0.7</c:v>
                </c:pt>
              </c:numCache>
            </c:numRef>
          </c:xVal>
          <c:yVal>
            <c:numRef>
              <c:f>'ANN performance'!$I$2:$I$10</c:f>
              <c:numCache>
                <c:formatCode>0.0</c:formatCode>
                <c:ptCount val="9"/>
                <c:pt idx="0">
                  <c:v>0.62230000000000008</c:v>
                </c:pt>
                <c:pt idx="1">
                  <c:v>0.74920000000000009</c:v>
                </c:pt>
                <c:pt idx="2">
                  <c:v>4.1134599999999999</c:v>
                </c:pt>
                <c:pt idx="3">
                  <c:v>12.483220000000001</c:v>
                </c:pt>
                <c:pt idx="4">
                  <c:v>0.91558000000000006</c:v>
                </c:pt>
                <c:pt idx="5">
                  <c:v>0.92968000000000006</c:v>
                </c:pt>
                <c:pt idx="6">
                  <c:v>4.5364599999999999</c:v>
                </c:pt>
                <c:pt idx="7">
                  <c:v>0.65614000000000006</c:v>
                </c:pt>
                <c:pt idx="8">
                  <c:v>0.64204000000000006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D1-45D3-A906-AA52759C7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189792"/>
        <c:axId val="279190184"/>
      </c:scatterChart>
      <c:valAx>
        <c:axId val="279189792"/>
        <c:scaling>
          <c:orientation val="minMax"/>
          <c:max val="1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r</a:t>
                </a:r>
                <a:r>
                  <a:rPr lang="en-US"/>
                  <a:t> (mm/year, field measurements)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79190184"/>
        <c:crosses val="autoZero"/>
        <c:crossBetween val="midCat"/>
        <c:majorUnit val="3"/>
      </c:valAx>
      <c:valAx>
        <c:axId val="279190184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1" u="none" strike="noStrike" baseline="0">
                    <a:effectLst/>
                  </a:rPr>
                  <a:t>r </a:t>
                </a:r>
                <a:r>
                  <a:rPr lang="en-US"/>
                  <a:t>(mm/year, model predictions)</a:t>
                </a:r>
                <a:endParaRPr lang="en-AU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79189792"/>
        <c:crosses val="autoZero"/>
        <c:crossBetween val="midCat"/>
        <c:majorUnit val="3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85564304461941"/>
          <c:y val="0.15111040587417812"/>
          <c:w val="0.79811975708918736"/>
          <c:h val="0.69650340486000606"/>
        </c:manualLayout>
      </c:layout>
      <c:scatterChart>
        <c:scatterStyle val="lineMarker"/>
        <c:varyColors val="0"/>
        <c:ser>
          <c:idx val="1"/>
          <c:order val="0"/>
          <c:tx>
            <c:v>ANN predictions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'ANN performance'!$K$2:$K$10</c:f>
              <c:numCache>
                <c:formatCode>General</c:formatCode>
                <c:ptCount val="9"/>
                <c:pt idx="0">
                  <c:v>0.85000000000000009</c:v>
                </c:pt>
                <c:pt idx="1">
                  <c:v>6.3</c:v>
                </c:pt>
                <c:pt idx="2">
                  <c:v>10.899999999999999</c:v>
                </c:pt>
                <c:pt idx="3">
                  <c:v>5.4</c:v>
                </c:pt>
                <c:pt idx="4">
                  <c:v>3.5</c:v>
                </c:pt>
                <c:pt idx="5">
                  <c:v>1.1000000000000001</c:v>
                </c:pt>
                <c:pt idx="6">
                  <c:v>4.4000000000000004</c:v>
                </c:pt>
                <c:pt idx="7">
                  <c:v>0.6</c:v>
                </c:pt>
                <c:pt idx="8">
                  <c:v>0.7</c:v>
                </c:pt>
              </c:numCache>
            </c:numRef>
          </c:xVal>
          <c:yVal>
            <c:numRef>
              <c:f>'ANN performance'!$G$2:$G$10</c:f>
              <c:numCache>
                <c:formatCode>0.00</c:formatCode>
                <c:ptCount val="9"/>
                <c:pt idx="0">
                  <c:v>0.73127485447707397</c:v>
                </c:pt>
                <c:pt idx="1">
                  <c:v>0.87527724106875204</c:v>
                </c:pt>
                <c:pt idx="2">
                  <c:v>3.4009538623660802</c:v>
                </c:pt>
                <c:pt idx="3">
                  <c:v>3.4567331081764099</c:v>
                </c:pt>
                <c:pt idx="4">
                  <c:v>1.1700031597106999</c:v>
                </c:pt>
                <c:pt idx="5">
                  <c:v>1.0196957918654499</c:v>
                </c:pt>
                <c:pt idx="6">
                  <c:v>3.4368460040890199</c:v>
                </c:pt>
                <c:pt idx="7">
                  <c:v>0.82572505384945605</c:v>
                </c:pt>
                <c:pt idx="8">
                  <c:v>0.80243201153621102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A-4729-B0D7-D0600BBAEE48}"/>
            </c:ext>
          </c:extLst>
        </c:ser>
        <c:ser>
          <c:idx val="2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EDA-4729-B0D7-D0600BBAEE48}"/>
            </c:ext>
          </c:extLst>
        </c:ser>
        <c:ser>
          <c:idx val="0"/>
          <c:order val="2"/>
          <c:tx>
            <c:v>MR predictions</c:v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'ANN performance'!$K$2:$K$10</c:f>
              <c:numCache>
                <c:formatCode>General</c:formatCode>
                <c:ptCount val="9"/>
                <c:pt idx="0">
                  <c:v>0.85000000000000009</c:v>
                </c:pt>
                <c:pt idx="1">
                  <c:v>6.3</c:v>
                </c:pt>
                <c:pt idx="2">
                  <c:v>10.899999999999999</c:v>
                </c:pt>
                <c:pt idx="3">
                  <c:v>5.4</c:v>
                </c:pt>
                <c:pt idx="4">
                  <c:v>3.5</c:v>
                </c:pt>
                <c:pt idx="5">
                  <c:v>1.1000000000000001</c:v>
                </c:pt>
                <c:pt idx="6">
                  <c:v>4.4000000000000004</c:v>
                </c:pt>
                <c:pt idx="7">
                  <c:v>0.6</c:v>
                </c:pt>
                <c:pt idx="8">
                  <c:v>0.7</c:v>
                </c:pt>
              </c:numCache>
            </c:numRef>
          </c:xVal>
          <c:yVal>
            <c:numRef>
              <c:f>'ANN performance'!$I$2:$I$10</c:f>
              <c:numCache>
                <c:formatCode>0.0</c:formatCode>
                <c:ptCount val="9"/>
                <c:pt idx="0">
                  <c:v>0.62230000000000008</c:v>
                </c:pt>
                <c:pt idx="1">
                  <c:v>0.74920000000000009</c:v>
                </c:pt>
                <c:pt idx="2">
                  <c:v>4.1134599999999999</c:v>
                </c:pt>
                <c:pt idx="3">
                  <c:v>12.483220000000001</c:v>
                </c:pt>
                <c:pt idx="4">
                  <c:v>0.91558000000000006</c:v>
                </c:pt>
                <c:pt idx="5">
                  <c:v>0.92968000000000006</c:v>
                </c:pt>
                <c:pt idx="6">
                  <c:v>4.5364599999999999</c:v>
                </c:pt>
                <c:pt idx="7">
                  <c:v>0.65614000000000006</c:v>
                </c:pt>
                <c:pt idx="8">
                  <c:v>0.64204000000000006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DA-4729-B0D7-D0600BBAEE48}"/>
            </c:ext>
          </c:extLst>
        </c:ser>
        <c:ser>
          <c:idx val="3"/>
          <c:order val="3"/>
          <c:tx>
            <c:v>Improved ANN predictions</c:v>
          </c:tx>
          <c:spPr>
            <a:ln w="19050">
              <a:noFill/>
            </a:ln>
          </c:spPr>
          <c:marker>
            <c:symbol val="x"/>
            <c:size val="7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'ANN performance'!$K$2:$K$10</c:f>
              <c:numCache>
                <c:formatCode>General</c:formatCode>
                <c:ptCount val="9"/>
                <c:pt idx="0">
                  <c:v>0.85000000000000009</c:v>
                </c:pt>
                <c:pt idx="1">
                  <c:v>6.3</c:v>
                </c:pt>
                <c:pt idx="2">
                  <c:v>10.899999999999999</c:v>
                </c:pt>
                <c:pt idx="3">
                  <c:v>5.4</c:v>
                </c:pt>
                <c:pt idx="4">
                  <c:v>3.5</c:v>
                </c:pt>
                <c:pt idx="5">
                  <c:v>1.1000000000000001</c:v>
                </c:pt>
                <c:pt idx="6">
                  <c:v>4.4000000000000004</c:v>
                </c:pt>
                <c:pt idx="7">
                  <c:v>0.6</c:v>
                </c:pt>
                <c:pt idx="8">
                  <c:v>0.7</c:v>
                </c:pt>
              </c:numCache>
            </c:numRef>
          </c:xVal>
          <c:yVal>
            <c:numRef>
              <c:f>'ANN performance'!$L$2:$L$10</c:f>
              <c:numCache>
                <c:formatCode>0.000</c:formatCode>
                <c:ptCount val="9"/>
                <c:pt idx="0">
                  <c:v>1.2665339834731399</c:v>
                </c:pt>
                <c:pt idx="1">
                  <c:v>1.2612849198323699</c:v>
                </c:pt>
                <c:pt idx="2">
                  <c:v>8.0270484914933409</c:v>
                </c:pt>
                <c:pt idx="3">
                  <c:v>4.44219658113236</c:v>
                </c:pt>
                <c:pt idx="4">
                  <c:v>1.28889719359275</c:v>
                </c:pt>
                <c:pt idx="5">
                  <c:v>1.18512757811662</c:v>
                </c:pt>
                <c:pt idx="6">
                  <c:v>6.0140158742398899</c:v>
                </c:pt>
                <c:pt idx="7">
                  <c:v>1.2318480992759899</c:v>
                </c:pt>
                <c:pt idx="8">
                  <c:v>1.2341295278491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DA-4729-B0D7-D0600BBAE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189400"/>
        <c:axId val="279189008"/>
      </c:scatterChart>
      <c:valAx>
        <c:axId val="279189400"/>
        <c:scaling>
          <c:orientation val="minMax"/>
          <c:max val="1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r</a:t>
                </a:r>
                <a:r>
                  <a:rPr lang="en-US"/>
                  <a:t> (mm/year, field measurements)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79189008"/>
        <c:crosses val="autoZero"/>
        <c:crossBetween val="midCat"/>
        <c:majorUnit val="3"/>
      </c:valAx>
      <c:valAx>
        <c:axId val="279189008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1" u="none" strike="noStrike" baseline="0">
                    <a:effectLst/>
                  </a:rPr>
                  <a:t>r </a:t>
                </a:r>
                <a:r>
                  <a:rPr lang="en-US"/>
                  <a:t>(mm/year, model predictions)</a:t>
                </a:r>
                <a:endParaRPr lang="en-AU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79189400"/>
        <c:crosses val="autoZero"/>
        <c:crossBetween val="midCat"/>
        <c:majorUnit val="3"/>
      </c:valAx>
      <c:spPr>
        <a:ln>
          <a:solidFill>
            <a:schemeClr val="tx1"/>
          </a:solidFill>
        </a:ln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19797076835983737"/>
          <c:y val="1.7956076670229797E-2"/>
          <c:w val="0.72750810560444645"/>
          <c:h val="0.12634583167483121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sensitivity'!$B$2:$B$52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sensitivity'!$E$2:$E$52</c:f>
              <c:numCache>
                <c:formatCode>General</c:formatCode>
                <c:ptCount val="51"/>
                <c:pt idx="0">
                  <c:v>0.78533361777495503</c:v>
                </c:pt>
                <c:pt idx="1">
                  <c:v>0.815819453276868</c:v>
                </c:pt>
                <c:pt idx="2">
                  <c:v>0.84937822300144605</c:v>
                </c:pt>
                <c:pt idx="3">
                  <c:v>0.88583012355382496</c:v>
                </c:pt>
                <c:pt idx="4">
                  <c:v>0.92472400195204496</c:v>
                </c:pt>
                <c:pt idx="5">
                  <c:v>0.96534662491573797</c:v>
                </c:pt>
                <c:pt idx="6">
                  <c:v>1.0067744401288601</c:v>
                </c:pt>
                <c:pt idx="7">
                  <c:v>1.04796451843824</c:v>
                </c:pt>
                <c:pt idx="8">
                  <c:v>1.08786952291025</c:v>
                </c:pt>
                <c:pt idx="9">
                  <c:v>1.1255534717612701</c:v>
                </c:pt>
                <c:pt idx="10">
                  <c:v>1.16028461039331</c:v>
                </c:pt>
                <c:pt idx="11">
                  <c:v>1.19158913277905</c:v>
                </c:pt>
                <c:pt idx="12">
                  <c:v>1.21926125869248</c:v>
                </c:pt>
                <c:pt idx="13">
                  <c:v>1.2433362251675399</c:v>
                </c:pt>
                <c:pt idx="14">
                  <c:v>1.2640393723847501</c:v>
                </c:pt>
                <c:pt idx="15">
                  <c:v>1.2817257656783001</c:v>
                </c:pt>
                <c:pt idx="16">
                  <c:v>1.2968220816817499</c:v>
                </c:pt>
                <c:pt idx="17">
                  <c:v>1.30977805248725</c:v>
                </c:pt>
                <c:pt idx="18">
                  <c:v>1.3210304863170601</c:v>
                </c:pt>
                <c:pt idx="19">
                  <c:v>1.33097975864591</c:v>
                </c:pt>
                <c:pt idx="20">
                  <c:v>1.33997689448211</c:v>
                </c:pt>
                <c:pt idx="21">
                  <c:v>1.3483186894249199</c:v>
                </c:pt>
                <c:pt idx="22">
                  <c:v>1.3562483524718401</c:v>
                </c:pt>
                <c:pt idx="23">
                  <c:v>1.36395954727514</c:v>
                </c:pt>
                <c:pt idx="24">
                  <c:v>1.37160221770609</c:v>
                </c:pt>
                <c:pt idx="25">
                  <c:v>1.37928907006924</c:v>
                </c:pt>
                <c:pt idx="26">
                  <c:v>1.38710198666175</c:v>
                </c:pt>
                <c:pt idx="27">
                  <c:v>1.3950979486102699</c:v>
                </c:pt>
                <c:pt idx="28">
                  <c:v>1.4033142585592999</c:v>
                </c:pt>
                <c:pt idx="29">
                  <c:v>1.4117729933615</c:v>
                </c:pt>
                <c:pt idx="30">
                  <c:v>1.42048470212446</c:v>
                </c:pt>
                <c:pt idx="31">
                  <c:v>1.4294514121153901</c:v>
                </c:pt>
                <c:pt idx="32">
                  <c:v>1.4386690269382101</c:v>
                </c:pt>
                <c:pt idx="33">
                  <c:v>1.44812920749286</c:v>
                </c:pt>
                <c:pt idx="34">
                  <c:v>1.4578208230691201</c:v>
                </c:pt>
                <c:pt idx="35">
                  <c:v>1.46773105189079</c:v>
                </c:pt>
                <c:pt idx="36">
                  <c:v>1.4778462002989201</c:v>
                </c:pt>
                <c:pt idx="37">
                  <c:v>1.48815229923026</c:v>
                </c:pt>
                <c:pt idx="38">
                  <c:v>1.49863552665865</c:v>
                </c:pt>
                <c:pt idx="39">
                  <c:v>1.5092824956979201</c:v>
                </c:pt>
                <c:pt idx="40">
                  <c:v>1.5200804402972099</c:v>
                </c:pt>
                <c:pt idx="41">
                  <c:v>1.53101732390423</c:v>
                </c:pt>
                <c:pt idx="42">
                  <c:v>1.5420818910451799</c:v>
                </c:pt>
                <c:pt idx="43">
                  <c:v>1.5532636773458699</c:v>
                </c:pt>
                <c:pt idx="44">
                  <c:v>1.5645529899561901</c:v>
                </c:pt>
                <c:pt idx="45">
                  <c:v>1.5759408675004001</c:v>
                </c:pt>
                <c:pt idx="46">
                  <c:v>1.58741902643378</c:v>
                </c:pt>
                <c:pt idx="47">
                  <c:v>1.5989797989299099</c:v>
                </c:pt>
                <c:pt idx="48">
                  <c:v>1.6106160660575799</c:v>
                </c:pt>
                <c:pt idx="49">
                  <c:v>1.62232118895393</c:v>
                </c:pt>
                <c:pt idx="50">
                  <c:v>1.6340889398940801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6-4D51-8F7F-1E47227430B3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sensitivity'!$B$53:$B$103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sensitivity'!$E$53:$E$103</c:f>
              <c:numCache>
                <c:formatCode>General</c:formatCode>
                <c:ptCount val="51"/>
                <c:pt idx="0">
                  <c:v>0.93597488658064298</c:v>
                </c:pt>
                <c:pt idx="1">
                  <c:v>1.01189305473256</c:v>
                </c:pt>
                <c:pt idx="2">
                  <c:v>1.0853730835200199</c:v>
                </c:pt>
                <c:pt idx="3">
                  <c:v>1.1559173639514999</c:v>
                </c:pt>
                <c:pt idx="4">
                  <c:v>1.22333226535588</c:v>
                </c:pt>
                <c:pt idx="5">
                  <c:v>1.28770210172903</c:v>
                </c:pt>
                <c:pt idx="6">
                  <c:v>1.34933964883479</c:v>
                </c:pt>
                <c:pt idx="7">
                  <c:v>1.4087272126417401</c:v>
                </c:pt>
                <c:pt idx="8">
                  <c:v>1.4664592468359099</c:v>
                </c:pt>
                <c:pt idx="9">
                  <c:v>1.5231930680119701</c:v>
                </c:pt>
                <c:pt idx="10">
                  <c:v>1.5796100834729001</c:v>
                </c:pt>
                <c:pt idx="11">
                  <c:v>1.63638699957973</c:v>
                </c:pt>
                <c:pt idx="12">
                  <c:v>1.6941748505872201</c:v>
                </c:pt>
                <c:pt idx="13">
                  <c:v>1.7535831181194199</c:v>
                </c:pt>
                <c:pt idx="14">
                  <c:v>1.81516633818901</c:v>
                </c:pt>
                <c:pt idx="15">
                  <c:v>1.8794111123038999</c:v>
                </c:pt>
                <c:pt idx="16">
                  <c:v>1.9467221532302399</c:v>
                </c:pt>
                <c:pt idx="17">
                  <c:v>2.0174067952038901</c:v>
                </c:pt>
                <c:pt idx="18">
                  <c:v>2.09165822379875</c:v>
                </c:pt>
                <c:pt idx="19">
                  <c:v>2.1695384838544101</c:v>
                </c:pt>
                <c:pt idx="20">
                  <c:v>2.2509630380517902</c:v>
                </c:pt>
                <c:pt idx="21">
                  <c:v>2.3356891763083301</c:v>
                </c:pt>
                <c:pt idx="22">
                  <c:v>2.4233107964627099</c:v>
                </c:pt>
                <c:pt idx="23">
                  <c:v>2.5132618745398498</c:v>
                </c:pt>
                <c:pt idx="24">
                  <c:v>2.6048302526443301</c:v>
                </c:pt>
                <c:pt idx="25">
                  <c:v>2.6971822241952901</c:v>
                </c:pt>
                <c:pt idx="26">
                  <c:v>2.78939694267673</c:v>
                </c:pt>
                <c:pt idx="27">
                  <c:v>2.8805081862186799</c:v>
                </c:pt>
                <c:pt idx="28">
                  <c:v>2.9695497961415702</c:v>
                </c:pt>
                <c:pt idx="29">
                  <c:v>3.0556004582551499</c:v>
                </c:pt>
                <c:pt idx="30">
                  <c:v>3.13782357075167</c:v>
                </c:pt>
                <c:pt idx="31">
                  <c:v>3.2154987220837201</c:v>
                </c:pt>
                <c:pt idx="32">
                  <c:v>3.2880425941245002</c:v>
                </c:pt>
                <c:pt idx="33">
                  <c:v>3.35501861076501</c:v>
                </c:pt>
                <c:pt idx="34">
                  <c:v>3.4161360575645601</c:v>
                </c:pt>
                <c:pt idx="35">
                  <c:v>3.4712404642738202</c:v>
                </c:pt>
                <c:pt idx="36">
                  <c:v>3.5202976493920999</c:v>
                </c:pt>
                <c:pt idx="37">
                  <c:v>3.5633739770342001</c:v>
                </c:pt>
                <c:pt idx="38">
                  <c:v>3.6006151634039099</c:v>
                </c:pt>
                <c:pt idx="39">
                  <c:v>3.6322255277010398</c:v>
                </c:pt>
                <c:pt idx="40">
                  <c:v>3.6584490447223801</c:v>
                </c:pt>
                <c:pt idx="41">
                  <c:v>3.6795530302274302</c:v>
                </c:pt>
                <c:pt idx="42">
                  <c:v>3.6958148429296198</c:v>
                </c:pt>
                <c:pt idx="43">
                  <c:v>3.70751164936777</c:v>
                </c:pt>
                <c:pt idx="44">
                  <c:v>3.7149130724066</c:v>
                </c:pt>
                <c:pt idx="45">
                  <c:v>3.7182764157641399</c:v>
                </c:pt>
                <c:pt idx="46">
                  <c:v>3.71784410270191</c:v>
                </c:pt>
                <c:pt idx="47">
                  <c:v>3.7138429622908098</c:v>
                </c:pt>
                <c:pt idx="48">
                  <c:v>3.7064850193841998</c:v>
                </c:pt>
                <c:pt idx="49">
                  <c:v>3.69596947680694</c:v>
                </c:pt>
                <c:pt idx="50">
                  <c:v>3.6824856074307699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D6-4D51-8F7F-1E472274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188224"/>
        <c:axId val="279647208"/>
      </c:scatterChart>
      <c:valAx>
        <c:axId val="279188224"/>
        <c:scaling>
          <c:orientation val="minMax"/>
          <c:max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</a:t>
                </a:r>
                <a:r>
                  <a:rPr lang="en-US" baseline="-25000"/>
                  <a:t>2</a:t>
                </a:r>
                <a:r>
                  <a:rPr lang="en-US"/>
                  <a:t>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9647208"/>
        <c:crosses val="autoZero"/>
        <c:crossBetween val="midCat"/>
      </c:valAx>
      <c:valAx>
        <c:axId val="27964720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9188224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1850577975665755"/>
          <c:y val="9.014084507042254E-2"/>
          <c:w val="0.64803159567103452"/>
          <c:h val="6.8232893423533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sensitivity'!$W$2:$W$22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sensitivity'!$Y$2:$Y$22</c:f>
              <c:numCache>
                <c:formatCode>General</c:formatCode>
                <c:ptCount val="21"/>
                <c:pt idx="0">
                  <c:v>0.98119047934814996</c:v>
                </c:pt>
                <c:pt idx="1">
                  <c:v>0.91885763375584895</c:v>
                </c:pt>
                <c:pt idx="2">
                  <c:v>0.89284190096074101</c:v>
                </c:pt>
                <c:pt idx="3">
                  <c:v>0.900089483960685</c:v>
                </c:pt>
                <c:pt idx="4">
                  <c:v>0.93060317740662102</c:v>
                </c:pt>
                <c:pt idx="5">
                  <c:v>0.97068985736517099</c:v>
                </c:pt>
                <c:pt idx="6">
                  <c:v>1.00851790727575</c:v>
                </c:pt>
                <c:pt idx="7">
                  <c:v>1.03828895051325</c:v>
                </c:pt>
                <c:pt idx="8">
                  <c:v>1.06076527509312</c:v>
                </c:pt>
                <c:pt idx="9">
                  <c:v>1.08111927875626</c:v>
                </c:pt>
                <c:pt idx="10">
                  <c:v>1.10610074654819</c:v>
                </c:pt>
                <c:pt idx="11">
                  <c:v>1.1414868096100299</c:v>
                </c:pt>
                <c:pt idx="12">
                  <c:v>1.1899099889198099</c:v>
                </c:pt>
                <c:pt idx="13">
                  <c:v>1.2493283493406599</c:v>
                </c:pt>
                <c:pt idx="14">
                  <c:v>1.3129554453155099</c:v>
                </c:pt>
                <c:pt idx="15">
                  <c:v>1.3712304158886901</c:v>
                </c:pt>
                <c:pt idx="16">
                  <c:v>1.41505287354151</c:v>
                </c:pt>
                <c:pt idx="17">
                  <c:v>1.4384244242440201</c:v>
                </c:pt>
                <c:pt idx="18">
                  <c:v>1.43924510093387</c:v>
                </c:pt>
                <c:pt idx="19">
                  <c:v>1.41855487415499</c:v>
                </c:pt>
                <c:pt idx="20">
                  <c:v>1.37928907006924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2E-4C6D-A337-B56157A77ECE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sensitivity'!$W$23:$W$43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sensitivity'!$Y$23:$Y$43</c:f>
              <c:numCache>
                <c:formatCode>General</c:formatCode>
                <c:ptCount val="21"/>
                <c:pt idx="0">
                  <c:v>2.82078462624786</c:v>
                </c:pt>
                <c:pt idx="1">
                  <c:v>2.7263679349143</c:v>
                </c:pt>
                <c:pt idx="2">
                  <c:v>2.6374048676861901</c:v>
                </c:pt>
                <c:pt idx="3">
                  <c:v>2.5550342840129701</c:v>
                </c:pt>
                <c:pt idx="4">
                  <c:v>2.4799125252062799</c:v>
                </c:pt>
                <c:pt idx="5">
                  <c:v>2.4123856668067201</c:v>
                </c:pt>
                <c:pt idx="6">
                  <c:v>2.3526919945903799</c:v>
                </c:pt>
                <c:pt idx="7">
                  <c:v>2.3011897616111399</c:v>
                </c:pt>
                <c:pt idx="8">
                  <c:v>2.2586215244348602</c:v>
                </c:pt>
                <c:pt idx="9">
                  <c:v>2.2264058672076001</c:v>
                </c:pt>
                <c:pt idx="10">
                  <c:v>2.2068879834649602</c:v>
                </c:pt>
                <c:pt idx="11">
                  <c:v>2.2033740605600798</c:v>
                </c:pt>
                <c:pt idx="12">
                  <c:v>2.2196297754269598</c:v>
                </c:pt>
                <c:pt idx="13">
                  <c:v>2.2584722312282799</c:v>
                </c:pt>
                <c:pt idx="14">
                  <c:v>2.3194838667416202</c:v>
                </c:pt>
                <c:pt idx="15">
                  <c:v>2.3969971065324902</c:v>
                </c:pt>
                <c:pt idx="16">
                  <c:v>2.4804790930230101</c:v>
                </c:pt>
                <c:pt idx="17">
                  <c:v>2.5582157370612602</c:v>
                </c:pt>
                <c:pt idx="18">
                  <c:v>2.6218690298270202</c:v>
                </c:pt>
                <c:pt idx="19">
                  <c:v>2.6682140889846599</c:v>
                </c:pt>
                <c:pt idx="20">
                  <c:v>2.6971822241952901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2E-4C6D-A337-B56157A77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47992"/>
        <c:axId val="279648384"/>
      </c:scatterChart>
      <c:valAx>
        <c:axId val="279647992"/>
        <c:scaling>
          <c:orientation val="minMax"/>
          <c:max val="10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9648384"/>
        <c:crosses val="autoZero"/>
        <c:crossBetween val="midCat"/>
      </c:valAx>
      <c:valAx>
        <c:axId val="27964838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9647992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1850577975665755"/>
          <c:y val="9.014084507042254E-2"/>
          <c:w val="0.64803159567103452"/>
          <c:h val="6.8232893423533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sensitivity'!$R$2:$R$32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sensitivity'!$S$2:$S$32</c:f>
              <c:numCache>
                <c:formatCode>General</c:formatCode>
                <c:ptCount val="31"/>
                <c:pt idx="0">
                  <c:v>2.4853752973362</c:v>
                </c:pt>
                <c:pt idx="1">
                  <c:v>2.4587589347591599</c:v>
                </c:pt>
                <c:pt idx="2">
                  <c:v>2.42888935859113</c:v>
                </c:pt>
                <c:pt idx="3">
                  <c:v>2.3955346428586402</c:v>
                </c:pt>
                <c:pt idx="4">
                  <c:v>2.35849619120633</c:v>
                </c:pt>
                <c:pt idx="5">
                  <c:v>2.31762175218863</c:v>
                </c:pt>
                <c:pt idx="6">
                  <c:v>2.2728177979172499</c:v>
                </c:pt>
                <c:pt idx="7">
                  <c:v>2.2240590324945</c:v>
                </c:pt>
                <c:pt idx="8">
                  <c:v>2.1713918477329299</c:v>
                </c:pt>
                <c:pt idx="9">
                  <c:v>2.1149274674307001</c:v>
                </c:pt>
                <c:pt idx="10">
                  <c:v>2.0548194225566401</c:v>
                </c:pt>
                <c:pt idx="11">
                  <c:v>1.9912191970028901</c:v>
                </c:pt>
                <c:pt idx="12">
                  <c:v>1.9242043409942999</c:v>
                </c:pt>
                <c:pt idx="13">
                  <c:v>1.85367777717513</c:v>
                </c:pt>
                <c:pt idx="14">
                  <c:v>1.77925223939096</c:v>
                </c:pt>
                <c:pt idx="15">
                  <c:v>1.7001743216182701</c:v>
                </c:pt>
                <c:pt idx="16">
                  <c:v>1.6154310151310101</c:v>
                </c:pt>
                <c:pt idx="17">
                  <c:v>1.5243251347265401</c:v>
                </c:pt>
                <c:pt idx="18">
                  <c:v>1.4279061564075901</c:v>
                </c:pt>
                <c:pt idx="19">
                  <c:v>1.33134943656725</c:v>
                </c:pt>
                <c:pt idx="20">
                  <c:v>1.24622659004585</c:v>
                </c:pt>
                <c:pt idx="21">
                  <c:v>1.18997873532582</c:v>
                </c:pt>
                <c:pt idx="22">
                  <c:v>1.1797145033424601</c:v>
                </c:pt>
                <c:pt idx="23">
                  <c:v>1.2207163836345101</c:v>
                </c:pt>
                <c:pt idx="24">
                  <c:v>1.2973857226235199</c:v>
                </c:pt>
                <c:pt idx="25">
                  <c:v>1.37928907006924</c:v>
                </c:pt>
                <c:pt idx="26">
                  <c:v>1.44094029302439</c:v>
                </c:pt>
                <c:pt idx="27">
                  <c:v>1.4745295385956501</c:v>
                </c:pt>
                <c:pt idx="28">
                  <c:v>1.48634990970348</c:v>
                </c:pt>
                <c:pt idx="29">
                  <c:v>1.48772459757355</c:v>
                </c:pt>
                <c:pt idx="30">
                  <c:v>1.4890330280495101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5C-4860-BCE9-907C282AEE8E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sensitivity'!$R$33:$R$63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sensitivity'!$S$33:$S$63</c:f>
              <c:numCache>
                <c:formatCode>General</c:formatCode>
                <c:ptCount val="31"/>
                <c:pt idx="0">
                  <c:v>1.15083521699197</c:v>
                </c:pt>
                <c:pt idx="1">
                  <c:v>1.17475606477432</c:v>
                </c:pt>
                <c:pt idx="2">
                  <c:v>1.20090000367964</c:v>
                </c:pt>
                <c:pt idx="3">
                  <c:v>1.2296466590438899</c:v>
                </c:pt>
                <c:pt idx="4">
                  <c:v>1.2613947870602999</c:v>
                </c:pt>
                <c:pt idx="5">
                  <c:v>1.2965462820368701</c:v>
                </c:pt>
                <c:pt idx="6">
                  <c:v>1.3354961270085901</c:v>
                </c:pt>
                <c:pt idx="7">
                  <c:v>1.3786354106174099</c:v>
                </c:pt>
                <c:pt idx="8">
                  <c:v>1.4263760105849299</c:v>
                </c:pt>
                <c:pt idx="9">
                  <c:v>1.47920806105534</c:v>
                </c:pt>
                <c:pt idx="10">
                  <c:v>1.5378038186754199</c:v>
                </c:pt>
                <c:pt idx="11">
                  <c:v>1.6031778572198601</c:v>
                </c:pt>
                <c:pt idx="12">
                  <c:v>1.6768862685780599</c:v>
                </c:pt>
                <c:pt idx="13">
                  <c:v>1.76116124896017</c:v>
                </c:pt>
                <c:pt idx="14">
                  <c:v>1.85869287099101</c:v>
                </c:pt>
                <c:pt idx="15">
                  <c:v>1.9715517431437199</c:v>
                </c:pt>
                <c:pt idx="16">
                  <c:v>2.0989186249366401</c:v>
                </c:pt>
                <c:pt idx="17">
                  <c:v>2.2345711085405</c:v>
                </c:pt>
                <c:pt idx="18">
                  <c:v>2.36688336272096</c:v>
                </c:pt>
                <c:pt idx="19">
                  <c:v>2.4830652854064099</c:v>
                </c:pt>
                <c:pt idx="20">
                  <c:v>2.5746616065131702</c:v>
                </c:pt>
                <c:pt idx="21">
                  <c:v>2.63962454412161</c:v>
                </c:pt>
                <c:pt idx="22">
                  <c:v>2.6804712781498998</c:v>
                </c:pt>
                <c:pt idx="23">
                  <c:v>2.7013567301694401</c:v>
                </c:pt>
                <c:pt idx="24">
                  <c:v>2.7060674971542298</c:v>
                </c:pt>
                <c:pt idx="25">
                  <c:v>2.6971822241952901</c:v>
                </c:pt>
                <c:pt idx="26">
                  <c:v>2.6760147820673801</c:v>
                </c:pt>
                <c:pt idx="27">
                  <c:v>2.6430661605647101</c:v>
                </c:pt>
                <c:pt idx="28">
                  <c:v>2.5988942893973501</c:v>
                </c:pt>
                <c:pt idx="29">
                  <c:v>2.5453389272865001</c:v>
                </c:pt>
                <c:pt idx="30">
                  <c:v>2.4869086096428701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5C-4860-BCE9-907C282AE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49168"/>
        <c:axId val="279649560"/>
      </c:scatterChart>
      <c:valAx>
        <c:axId val="279649168"/>
        <c:scaling>
          <c:orientation val="minMax"/>
          <c:max val="30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9649560"/>
        <c:crosses val="autoZero"/>
        <c:crossBetween val="midCat"/>
      </c:valAx>
      <c:valAx>
        <c:axId val="279649560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9649168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1850577975665755"/>
          <c:y val="9.014084507042254E-2"/>
          <c:w val="0.64803159567103452"/>
          <c:h val="6.8232893423533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image" Target="../media/image15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198120</xdr:colOff>
      <xdr:row>1</xdr:row>
      <xdr:rowOff>68580</xdr:rowOff>
    </xdr:from>
    <xdr:to>
      <xdr:col>17</xdr:col>
      <xdr:colOff>160020</xdr:colOff>
      <xdr:row>36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180" y="251460"/>
          <a:ext cx="6667500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142875</xdr:rowOff>
    </xdr:from>
    <xdr:to>
      <xdr:col>18</xdr:col>
      <xdr:colOff>247650</xdr:colOff>
      <xdr:row>35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2875"/>
          <a:ext cx="6667500" cy="666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</xdr:colOff>
      <xdr:row>2</xdr:row>
      <xdr:rowOff>0</xdr:rowOff>
    </xdr:from>
    <xdr:to>
      <xdr:col>27</xdr:col>
      <xdr:colOff>381001</xdr:colOff>
      <xdr:row>21</xdr:row>
      <xdr:rowOff>48341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82426" y="381000"/>
          <a:ext cx="5257800" cy="3667841"/>
        </a:xfrm>
        <a:prstGeom prst="rect">
          <a:avLst/>
        </a:prstGeom>
      </xdr:spPr>
    </xdr:pic>
    <xdr:clientData/>
  </xdr:twoCellAnchor>
  <xdr:twoCellAnchor>
    <xdr:from>
      <xdr:col>22</xdr:col>
      <xdr:colOff>228600</xdr:colOff>
      <xdr:row>3</xdr:row>
      <xdr:rowOff>85725</xdr:rowOff>
    </xdr:from>
    <xdr:to>
      <xdr:col>22</xdr:col>
      <xdr:colOff>228600</xdr:colOff>
      <xdr:row>21</xdr:row>
      <xdr:rowOff>104775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3839825" y="657225"/>
          <a:ext cx="0" cy="344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35</xdr:row>
      <xdr:rowOff>123825</xdr:rowOff>
    </xdr:from>
    <xdr:to>
      <xdr:col>15</xdr:col>
      <xdr:colOff>476250</xdr:colOff>
      <xdr:row>56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23</xdr:col>
      <xdr:colOff>304800</xdr:colOff>
      <xdr:row>56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85181</xdr:colOff>
      <xdr:row>6</xdr:row>
      <xdr:rowOff>37952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52381" cy="11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8</xdr:col>
      <xdr:colOff>113676</xdr:colOff>
      <xdr:row>41</xdr:row>
      <xdr:rowOff>94429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500"/>
          <a:ext cx="4990476" cy="6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17</xdr:col>
      <xdr:colOff>427962</xdr:colOff>
      <xdr:row>9</xdr:row>
      <xdr:rowOff>95024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0"/>
          <a:ext cx="5304762" cy="18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18</xdr:col>
      <xdr:colOff>570743</xdr:colOff>
      <xdr:row>33</xdr:row>
      <xdr:rowOff>180405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905000"/>
          <a:ext cx="6057143" cy="45619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16</xdr:col>
      <xdr:colOff>532800</xdr:colOff>
      <xdr:row>52</xdr:row>
      <xdr:rowOff>37667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6477000"/>
          <a:ext cx="4800000" cy="3466667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27</xdr:col>
      <xdr:colOff>504076</xdr:colOff>
      <xdr:row>56</xdr:row>
      <xdr:rowOff>123309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2800" y="6667500"/>
          <a:ext cx="5990476" cy="4123809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32</xdr:row>
      <xdr:rowOff>0</xdr:rowOff>
    </xdr:from>
    <xdr:to>
      <xdr:col>28</xdr:col>
      <xdr:colOff>542176</xdr:colOff>
      <xdr:row>35</xdr:row>
      <xdr:rowOff>95167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20500" y="6096000"/>
          <a:ext cx="5990476" cy="666667"/>
        </a:xfrm>
        <a:prstGeom prst="rect">
          <a:avLst/>
        </a:prstGeom>
      </xdr:spPr>
    </xdr:pic>
    <xdr:clientData/>
  </xdr:twoCellAnchor>
  <xdr:twoCellAnchor editAs="oneCell">
    <xdr:from>
      <xdr:col>19</xdr:col>
      <xdr:colOff>123825</xdr:colOff>
      <xdr:row>29</xdr:row>
      <xdr:rowOff>47625</xdr:rowOff>
    </xdr:from>
    <xdr:to>
      <xdr:col>28</xdr:col>
      <xdr:colOff>189806</xdr:colOff>
      <xdr:row>31</xdr:row>
      <xdr:rowOff>190435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06225" y="5572125"/>
          <a:ext cx="5552381" cy="5238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29</xdr:col>
      <xdr:colOff>104076</xdr:colOff>
      <xdr:row>20</xdr:row>
      <xdr:rowOff>161452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0" y="190500"/>
          <a:ext cx="5590476" cy="3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257175</xdr:colOff>
      <xdr:row>0</xdr:row>
      <xdr:rowOff>133350</xdr:rowOff>
    </xdr:from>
    <xdr:to>
      <xdr:col>23</xdr:col>
      <xdr:colOff>75537</xdr:colOff>
      <xdr:row>10</xdr:row>
      <xdr:rowOff>37874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133350"/>
          <a:ext cx="5304762" cy="18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10</xdr:row>
      <xdr:rowOff>180975</xdr:rowOff>
    </xdr:from>
    <xdr:to>
      <xdr:col>24</xdr:col>
      <xdr:colOff>389768</xdr:colOff>
      <xdr:row>34</xdr:row>
      <xdr:rowOff>170880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0" y="2085975"/>
          <a:ext cx="6057143" cy="4561905"/>
        </a:xfrm>
        <a:prstGeom prst="rect">
          <a:avLst/>
        </a:prstGeom>
      </xdr:spPr>
    </xdr:pic>
    <xdr:clientData/>
  </xdr:twoCellAnchor>
  <xdr:twoCellAnchor>
    <xdr:from>
      <xdr:col>0</xdr:col>
      <xdr:colOff>952500</xdr:colOff>
      <xdr:row>10</xdr:row>
      <xdr:rowOff>142875</xdr:rowOff>
    </xdr:from>
    <xdr:to>
      <xdr:col>5</xdr:col>
      <xdr:colOff>838200</xdr:colOff>
      <xdr:row>29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790575</xdr:colOff>
      <xdr:row>10</xdr:row>
      <xdr:rowOff>142875</xdr:rowOff>
    </xdr:from>
    <xdr:to>
      <xdr:col>10</xdr:col>
      <xdr:colOff>314325</xdr:colOff>
      <xdr:row>29</xdr:row>
      <xdr:rowOff>118110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494193</xdr:colOff>
      <xdr:row>39</xdr:row>
      <xdr:rowOff>133190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8857143" cy="1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94117</xdr:colOff>
      <xdr:row>51</xdr:row>
      <xdr:rowOff>66405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620000"/>
          <a:ext cx="9066667" cy="21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5</xdr:col>
      <xdr:colOff>418548</xdr:colOff>
      <xdr:row>70</xdr:row>
      <xdr:rowOff>113857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906000"/>
          <a:ext cx="4419048" cy="3542857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</xdr:row>
      <xdr:rowOff>76200</xdr:rowOff>
    </xdr:from>
    <xdr:to>
      <xdr:col>17</xdr:col>
      <xdr:colOff>228600</xdr:colOff>
      <xdr:row>31</xdr:row>
      <xdr:rowOff>165736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0.15768</cdr:x>
      <cdr:y>0.11217</cdr:y>
    </cdr:from>
    <cdr:to>
      <cdr:x>0.44721</cdr:x>
      <cdr:y>0.18298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12775" y="403225"/>
          <a:ext cx="1125180" cy="25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100" b="1">
              <a:latin typeface="Arial" panose="020B0604020202020204" pitchFamily="34" charset="0"/>
              <a:cs typeface="Arial" panose="020B0604020202020204" pitchFamily="34" charset="0"/>
            </a:rPr>
            <a:t>A. ANN model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0.46895</cdr:x>
      <cdr:y>0.11217</cdr:y>
    </cdr:from>
    <cdr:to>
      <cdr:x>0.73629</cdr:x>
      <cdr:y>0.18298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1822450" y="403225"/>
          <a:ext cx="1038939" cy="25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100" b="1">
              <a:latin typeface="Arial" panose="020B0604020202020204" pitchFamily="34" charset="0"/>
              <a:cs typeface="Arial" panose="020B0604020202020204" pitchFamily="34" charset="0"/>
            </a:rPr>
            <a:t>B. MR model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557212</xdr:colOff>
      <xdr:row>1</xdr:row>
      <xdr:rowOff>57149</xdr:rowOff>
    </xdr:from>
    <xdr:to>
      <xdr:col>14</xdr:col>
      <xdr:colOff>90487</xdr:colOff>
      <xdr:row>19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557212</xdr:colOff>
      <xdr:row>18</xdr:row>
      <xdr:rowOff>76200</xdr:rowOff>
    </xdr:from>
    <xdr:to>
      <xdr:col>14</xdr:col>
      <xdr:colOff>90487</xdr:colOff>
      <xdr:row>36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557212</xdr:colOff>
      <xdr:row>35</xdr:row>
      <xdr:rowOff>123825</xdr:rowOff>
    </xdr:from>
    <xdr:to>
      <xdr:col>14</xdr:col>
      <xdr:colOff>90487</xdr:colOff>
      <xdr:row>53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0.12018</cdr:x>
      <cdr:y>0.03474</cdr:y>
    </cdr:from>
    <cdr:to>
      <cdr:x>0.18279</cdr:x>
      <cdr:y>0.12311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03250" y="117475"/>
          <a:ext cx="314317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0.11828</cdr:x>
      <cdr:y>0.03474</cdr:y>
    </cdr:from>
    <cdr:to>
      <cdr:x>0.1809</cdr:x>
      <cdr:y>0.12311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93725" y="117475"/>
          <a:ext cx="314317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0.11448</cdr:x>
      <cdr:y>0.02629</cdr:y>
    </cdr:from>
    <cdr:to>
      <cdr:x>0.1771</cdr:x>
      <cdr:y>0.11466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74675" y="88900"/>
          <a:ext cx="314317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2"/>
  <sheetViews>
    <sheetView topLeftCell="A10" workbookViewId="0">
      <selection activeCell="R18" sqref="R18"/>
    </sheetView>
  </sheetViews>
  <sheetFormatPr defaultRowHeight="14.4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6" t="s">
        <v>11</v>
      </c>
      <c r="I1" s="1" t="s">
        <v>0</v>
      </c>
      <c r="J1" s="2" t="s">
        <v>1</v>
      </c>
      <c r="K1" s="2" t="s">
        <v>2</v>
      </c>
      <c r="L1" s="2" t="s">
        <v>3</v>
      </c>
      <c r="M1" s="1" t="s">
        <v>4</v>
      </c>
      <c r="N1" s="1" t="s">
        <v>5</v>
      </c>
      <c r="O1" s="1" t="s">
        <v>6</v>
      </c>
      <c r="P1" s="6" t="s">
        <v>11</v>
      </c>
    </row>
    <row r="2" spans="1:16" x14ac:dyDescent="0.25">
      <c r="A2" s="3" t="s">
        <v>7</v>
      </c>
      <c r="B2" s="4">
        <v>50</v>
      </c>
      <c r="C2" s="4">
        <v>100</v>
      </c>
      <c r="D2" s="4">
        <v>17</v>
      </c>
      <c r="E2" s="3">
        <v>3.0249999999999995</v>
      </c>
      <c r="F2" s="3">
        <v>1.6136685092189937</v>
      </c>
      <c r="G2" s="3">
        <v>1.37664431372549</v>
      </c>
      <c r="H2" s="5">
        <f>AVERAGE(F2:G2)</f>
        <v>1.4951564114722418</v>
      </c>
      <c r="I2" s="3" t="s">
        <v>8</v>
      </c>
      <c r="J2" s="4">
        <v>50</v>
      </c>
      <c r="K2" s="4">
        <v>100</v>
      </c>
      <c r="L2" s="4">
        <v>17</v>
      </c>
      <c r="M2" s="3">
        <v>8.5500021129651955</v>
      </c>
      <c r="N2" s="3">
        <v>5.1725007142707256</v>
      </c>
      <c r="O2" s="3">
        <v>2.3402584313725487</v>
      </c>
      <c r="P2" s="5">
        <f>AVERAGE(N2:O2)</f>
        <v>3.7563795728216371</v>
      </c>
    </row>
    <row r="3" spans="1:16" x14ac:dyDescent="0.25">
      <c r="A3" s="3" t="s">
        <v>7</v>
      </c>
      <c r="B3" s="4">
        <v>50</v>
      </c>
      <c r="C3" s="4">
        <v>100</v>
      </c>
      <c r="D3" s="4">
        <v>25</v>
      </c>
      <c r="E3" s="3">
        <v>2.4074999999999998</v>
      </c>
      <c r="F3" s="3">
        <v>1.7963303317723665</v>
      </c>
      <c r="G3" s="3">
        <v>1.454874117647059</v>
      </c>
      <c r="H3" s="5">
        <f t="shared" ref="H3:H37" si="0">AVERAGE(F3:G3)</f>
        <v>1.6256022247097128</v>
      </c>
      <c r="I3" s="3" t="s">
        <v>8</v>
      </c>
      <c r="J3" s="4">
        <v>50</v>
      </c>
      <c r="K3" s="4">
        <v>100</v>
      </c>
      <c r="L3" s="4">
        <v>25</v>
      </c>
      <c r="M3" s="3">
        <v>5.66</v>
      </c>
      <c r="N3" s="3">
        <v>4.2788423442797932</v>
      </c>
      <c r="O3" s="3">
        <v>3.5613964705882357</v>
      </c>
      <c r="P3" s="5">
        <f t="shared" ref="P3:P37" si="1">AVERAGE(N3:O3)</f>
        <v>3.9201194074340142</v>
      </c>
    </row>
    <row r="4" spans="1:16" x14ac:dyDescent="0.25">
      <c r="A4" s="3" t="s">
        <v>7</v>
      </c>
      <c r="B4" s="4">
        <v>50</v>
      </c>
      <c r="C4" s="4">
        <v>100</v>
      </c>
      <c r="D4" s="4">
        <v>30</v>
      </c>
      <c r="E4" s="3">
        <v>3.797251410513903</v>
      </c>
      <c r="F4" s="3">
        <v>1.3122897989351414</v>
      </c>
      <c r="G4" s="3">
        <v>1.8084686274509805</v>
      </c>
      <c r="H4" s="5">
        <f t="shared" si="0"/>
        <v>1.5603792131930609</v>
      </c>
      <c r="I4" s="3" t="s">
        <v>8</v>
      </c>
      <c r="J4" s="4">
        <v>50</v>
      </c>
      <c r="K4" s="4">
        <v>100</v>
      </c>
      <c r="L4" s="4">
        <v>30</v>
      </c>
      <c r="M4" s="3">
        <v>3.1485473263740982</v>
      </c>
      <c r="N4" s="3"/>
      <c r="O4" s="3">
        <v>2.3598615686274504</v>
      </c>
      <c r="P4" s="5">
        <f t="shared" si="1"/>
        <v>2.3598615686274504</v>
      </c>
    </row>
    <row r="5" spans="1:16" x14ac:dyDescent="0.25">
      <c r="A5" s="3" t="s">
        <v>7</v>
      </c>
      <c r="B5" s="4">
        <v>25</v>
      </c>
      <c r="C5" s="4">
        <v>100</v>
      </c>
      <c r="D5" s="4">
        <v>17</v>
      </c>
      <c r="E5" s="3">
        <v>2.5575049980556974</v>
      </c>
      <c r="F5" s="3">
        <v>1.2373406398322817</v>
      </c>
      <c r="G5" s="3">
        <v>1.9560976470588234</v>
      </c>
      <c r="H5" s="5">
        <f t="shared" si="0"/>
        <v>1.5967191434455525</v>
      </c>
      <c r="I5" s="3" t="s">
        <v>8</v>
      </c>
      <c r="J5" s="4">
        <v>25</v>
      </c>
      <c r="K5" s="4">
        <v>100</v>
      </c>
      <c r="L5" s="4">
        <v>17</v>
      </c>
      <c r="M5" s="3">
        <v>5.9117946029070527</v>
      </c>
      <c r="N5" s="3">
        <v>2.6876330825022783</v>
      </c>
      <c r="O5" s="3">
        <v>1.4575047058823529</v>
      </c>
      <c r="P5" s="5">
        <f t="shared" si="1"/>
        <v>2.0725688941923157</v>
      </c>
    </row>
    <row r="6" spans="1:16" x14ac:dyDescent="0.25">
      <c r="A6" s="3" t="s">
        <v>7</v>
      </c>
      <c r="B6" s="4">
        <v>25</v>
      </c>
      <c r="C6" s="4">
        <v>100</v>
      </c>
      <c r="D6" s="4">
        <v>25</v>
      </c>
      <c r="E6" s="3">
        <v>1.913</v>
      </c>
      <c r="F6" s="3">
        <v>1.0823033824408053</v>
      </c>
      <c r="G6" s="3">
        <v>2.1527568627450977</v>
      </c>
      <c r="H6" s="5">
        <f t="shared" si="0"/>
        <v>1.6175301225929515</v>
      </c>
      <c r="I6" s="3" t="s">
        <v>8</v>
      </c>
      <c r="J6" s="4">
        <v>25</v>
      </c>
      <c r="K6" s="4">
        <v>100</v>
      </c>
      <c r="L6" s="4">
        <v>25</v>
      </c>
      <c r="M6" s="3">
        <v>5.5869999999999997</v>
      </c>
      <c r="N6" s="3">
        <v>2.794549787250407</v>
      </c>
      <c r="O6" s="3">
        <v>2.5696043137254905</v>
      </c>
      <c r="P6" s="5">
        <f t="shared" si="1"/>
        <v>2.6820770504879485</v>
      </c>
    </row>
    <row r="7" spans="1:16" x14ac:dyDescent="0.25">
      <c r="A7" s="3" t="s">
        <v>7</v>
      </c>
      <c r="B7" s="4">
        <v>25</v>
      </c>
      <c r="C7" s="4">
        <v>100</v>
      </c>
      <c r="D7" s="4">
        <v>30</v>
      </c>
      <c r="E7" s="3">
        <v>2.2650965330204533</v>
      </c>
      <c r="F7" s="3">
        <v>1.3801730579410387</v>
      </c>
      <c r="G7" s="3">
        <v>1.1237623529411762</v>
      </c>
      <c r="H7" s="5">
        <f t="shared" si="0"/>
        <v>1.2519677054411074</v>
      </c>
      <c r="I7" s="3" t="s">
        <v>8</v>
      </c>
      <c r="J7" s="4">
        <v>25</v>
      </c>
      <c r="K7" s="4">
        <v>100</v>
      </c>
      <c r="L7" s="4">
        <v>30</v>
      </c>
      <c r="M7" s="3">
        <v>6.6533826819200499</v>
      </c>
      <c r="N7" s="3">
        <v>4.4584303474753888</v>
      </c>
      <c r="O7" s="3">
        <v>1.5604098039215684</v>
      </c>
      <c r="P7" s="5">
        <f t="shared" si="1"/>
        <v>3.0094200756984786</v>
      </c>
    </row>
    <row r="8" spans="1:16" x14ac:dyDescent="0.25">
      <c r="A8" s="3" t="s">
        <v>7</v>
      </c>
      <c r="B8" s="4">
        <v>15</v>
      </c>
      <c r="C8" s="4">
        <v>100</v>
      </c>
      <c r="D8" s="4">
        <v>17</v>
      </c>
      <c r="E8" s="3">
        <v>2.8418604268507601</v>
      </c>
      <c r="F8" s="3">
        <v>1.2045122004220739</v>
      </c>
      <c r="G8" s="3">
        <v>0.87850705882352953</v>
      </c>
      <c r="H8" s="5">
        <f t="shared" si="0"/>
        <v>1.0415096296228017</v>
      </c>
      <c r="I8" s="3" t="s">
        <v>8</v>
      </c>
      <c r="J8" s="4">
        <v>15</v>
      </c>
      <c r="K8" s="4">
        <v>100</v>
      </c>
      <c r="L8" s="4">
        <v>17</v>
      </c>
      <c r="M8" s="3">
        <v>6.4</v>
      </c>
      <c r="N8" s="3">
        <v>2.032961166276261</v>
      </c>
      <c r="O8" s="3">
        <v>1.7206670588235298</v>
      </c>
      <c r="P8" s="5">
        <f t="shared" si="1"/>
        <v>1.8768141125498954</v>
      </c>
    </row>
    <row r="9" spans="1:16" x14ac:dyDescent="0.25">
      <c r="A9" s="3" t="s">
        <v>7</v>
      </c>
      <c r="B9" s="4">
        <v>15</v>
      </c>
      <c r="C9" s="4">
        <v>100</v>
      </c>
      <c r="D9" s="4">
        <v>25</v>
      </c>
      <c r="E9" s="3">
        <v>1.4879999999999993</v>
      </c>
      <c r="F9" s="3">
        <v>1.4000716960691419</v>
      </c>
      <c r="G9" s="3">
        <v>1.2598113725490201</v>
      </c>
      <c r="H9" s="5">
        <f t="shared" si="0"/>
        <v>1.329941534309081</v>
      </c>
      <c r="I9" s="3" t="s">
        <v>8</v>
      </c>
      <c r="J9" s="4">
        <v>15</v>
      </c>
      <c r="K9" s="4">
        <v>100</v>
      </c>
      <c r="L9" s="4">
        <v>25</v>
      </c>
      <c r="M9" s="3">
        <v>3.661</v>
      </c>
      <c r="N9" s="3">
        <v>2.7982783833427947</v>
      </c>
      <c r="O9" s="3">
        <v>1.608923137254902</v>
      </c>
      <c r="P9" s="5">
        <f t="shared" si="1"/>
        <v>2.2036007602988485</v>
      </c>
    </row>
    <row r="10" spans="1:16" x14ac:dyDescent="0.25">
      <c r="A10" s="3" t="s">
        <v>7</v>
      </c>
      <c r="B10" s="4">
        <v>15</v>
      </c>
      <c r="C10" s="4">
        <v>100</v>
      </c>
      <c r="D10" s="4">
        <v>30</v>
      </c>
      <c r="E10" s="3">
        <v>3.6147922642948913</v>
      </c>
      <c r="F10" s="3">
        <v>1.5649412676440351</v>
      </c>
      <c r="G10" s="3">
        <v>1.5670603921568631</v>
      </c>
      <c r="H10" s="5">
        <f t="shared" si="0"/>
        <v>1.5660008299004491</v>
      </c>
      <c r="I10" s="3" t="s">
        <v>8</v>
      </c>
      <c r="J10" s="4">
        <v>15</v>
      </c>
      <c r="K10" s="4">
        <v>100</v>
      </c>
      <c r="L10" s="4">
        <v>30</v>
      </c>
      <c r="M10" s="3">
        <v>2.8</v>
      </c>
      <c r="N10" s="3">
        <v>0.38553095171564489</v>
      </c>
      <c r="O10" s="3">
        <v>0.68491098039215703</v>
      </c>
      <c r="P10" s="5">
        <f t="shared" si="1"/>
        <v>0.5352209660539009</v>
      </c>
    </row>
    <row r="11" spans="1:16" x14ac:dyDescent="0.25">
      <c r="A11" s="3" t="s">
        <v>7</v>
      </c>
      <c r="B11" s="4">
        <v>10</v>
      </c>
      <c r="C11" s="4">
        <v>100</v>
      </c>
      <c r="D11" s="4">
        <v>17</v>
      </c>
      <c r="E11" s="3">
        <v>3.4362697431375273</v>
      </c>
      <c r="F11" s="3">
        <v>1.2109138507845978</v>
      </c>
      <c r="G11" s="3">
        <v>1.5853964705882353</v>
      </c>
      <c r="H11" s="5">
        <f t="shared" si="0"/>
        <v>1.3981551606864167</v>
      </c>
      <c r="I11" s="3" t="s">
        <v>8</v>
      </c>
      <c r="J11" s="4">
        <v>10</v>
      </c>
      <c r="K11" s="4">
        <v>100</v>
      </c>
      <c r="L11" s="4">
        <v>17</v>
      </c>
      <c r="M11" s="3">
        <v>4.610020877387961</v>
      </c>
      <c r="N11" s="3">
        <v>1.5639334809138501</v>
      </c>
      <c r="O11" s="3">
        <v>1.4876627450980391</v>
      </c>
      <c r="P11" s="5">
        <f t="shared" si="1"/>
        <v>1.5257981130059446</v>
      </c>
    </row>
    <row r="12" spans="1:16" x14ac:dyDescent="0.25">
      <c r="A12" s="3" t="s">
        <v>7</v>
      </c>
      <c r="B12" s="4">
        <v>10</v>
      </c>
      <c r="C12" s="4">
        <v>100</v>
      </c>
      <c r="D12" s="4">
        <v>25</v>
      </c>
      <c r="E12" s="3">
        <v>4.62</v>
      </c>
      <c r="F12" s="3">
        <v>0.37084558091077735</v>
      </c>
      <c r="G12" s="3">
        <v>1.6707533333333333</v>
      </c>
      <c r="H12" s="5">
        <f t="shared" si="0"/>
        <v>1.0207994571220553</v>
      </c>
      <c r="I12" s="3" t="s">
        <v>8</v>
      </c>
      <c r="J12" s="4">
        <v>10</v>
      </c>
      <c r="K12" s="4">
        <v>100</v>
      </c>
      <c r="L12" s="4">
        <v>25</v>
      </c>
      <c r="M12" s="3">
        <v>3.2809999999999997</v>
      </c>
      <c r="N12" s="3">
        <v>1.4389694688292203</v>
      </c>
      <c r="O12" s="3">
        <v>1.5966733333333334</v>
      </c>
      <c r="P12" s="5">
        <f t="shared" si="1"/>
        <v>1.5178214010812767</v>
      </c>
    </row>
    <row r="13" spans="1:16" x14ac:dyDescent="0.25">
      <c r="A13" s="3" t="s">
        <v>7</v>
      </c>
      <c r="B13" s="4">
        <v>10</v>
      </c>
      <c r="C13" s="4">
        <v>100</v>
      </c>
      <c r="D13" s="4">
        <v>30</v>
      </c>
      <c r="E13" s="3">
        <v>2.966469913752471</v>
      </c>
      <c r="F13" s="3">
        <v>1.2364870655323363</v>
      </c>
      <c r="G13" s="3">
        <v>1.5674870588235295</v>
      </c>
      <c r="H13" s="5">
        <f t="shared" si="0"/>
        <v>1.4019870621779329</v>
      </c>
      <c r="I13" s="3" t="s">
        <v>8</v>
      </c>
      <c r="J13" s="4">
        <v>10</v>
      </c>
      <c r="K13" s="4">
        <v>100</v>
      </c>
      <c r="L13" s="4">
        <v>30</v>
      </c>
      <c r="M13" s="3">
        <v>4.4000000000000004</v>
      </c>
      <c r="N13" s="3">
        <v>2.1120523713948667</v>
      </c>
      <c r="O13" s="3">
        <v>2.3506623529411765</v>
      </c>
      <c r="P13" s="5">
        <f t="shared" si="1"/>
        <v>2.2313573621680218</v>
      </c>
    </row>
    <row r="14" spans="1:16" x14ac:dyDescent="0.25">
      <c r="A14" s="3" t="s">
        <v>7</v>
      </c>
      <c r="B14" s="4">
        <v>5</v>
      </c>
      <c r="C14" s="4">
        <v>100</v>
      </c>
      <c r="D14" s="4">
        <v>17</v>
      </c>
      <c r="E14" s="3">
        <v>3.3394836467703324</v>
      </c>
      <c r="F14" s="3">
        <v>1.2546989877340116</v>
      </c>
      <c r="G14" s="3">
        <v>1.0321101960784314</v>
      </c>
      <c r="H14" s="5">
        <f t="shared" si="0"/>
        <v>1.1434045919062215</v>
      </c>
      <c r="I14" s="3" t="s">
        <v>8</v>
      </c>
      <c r="J14" s="4">
        <v>5</v>
      </c>
      <c r="K14" s="4">
        <v>100</v>
      </c>
      <c r="L14" s="4">
        <v>17</v>
      </c>
      <c r="M14" s="3">
        <v>2.4218966664219872</v>
      </c>
      <c r="N14" s="3">
        <v>1.2279337346440462</v>
      </c>
      <c r="O14" s="3">
        <v>1.276114117647059</v>
      </c>
      <c r="P14" s="5">
        <f t="shared" si="1"/>
        <v>1.2520239261455526</v>
      </c>
    </row>
    <row r="15" spans="1:16" x14ac:dyDescent="0.25">
      <c r="A15" s="3" t="s">
        <v>7</v>
      </c>
      <c r="B15" s="4">
        <v>5</v>
      </c>
      <c r="C15" s="4">
        <v>100</v>
      </c>
      <c r="D15" s="4">
        <v>25</v>
      </c>
      <c r="E15" s="3">
        <v>4.0068900000000003</v>
      </c>
      <c r="F15" s="3">
        <v>0.95104343066058783</v>
      </c>
      <c r="G15" s="3">
        <v>0.72920901960784335</v>
      </c>
      <c r="H15" s="5">
        <f t="shared" si="0"/>
        <v>0.84012622513421564</v>
      </c>
      <c r="I15" s="3" t="s">
        <v>8</v>
      </c>
      <c r="J15" s="4">
        <v>5</v>
      </c>
      <c r="K15" s="4">
        <v>100</v>
      </c>
      <c r="L15" s="4">
        <v>25</v>
      </c>
      <c r="M15" s="3">
        <v>2.552</v>
      </c>
      <c r="N15" s="3">
        <v>1.4657816936992778</v>
      </c>
      <c r="O15" s="3">
        <v>1.1480168627450977</v>
      </c>
      <c r="P15" s="5">
        <f t="shared" si="1"/>
        <v>1.3068992782221878</v>
      </c>
    </row>
    <row r="16" spans="1:16" x14ac:dyDescent="0.25">
      <c r="A16" s="3" t="s">
        <v>7</v>
      </c>
      <c r="B16" s="4">
        <v>5</v>
      </c>
      <c r="C16" s="4">
        <v>100</v>
      </c>
      <c r="D16" s="4">
        <v>30</v>
      </c>
      <c r="E16" s="3">
        <v>3.3447324187277836</v>
      </c>
      <c r="F16" s="3">
        <v>0.24681489966583925</v>
      </c>
      <c r="G16" s="3">
        <v>1.1636823529411764</v>
      </c>
      <c r="H16" s="5">
        <f t="shared" si="0"/>
        <v>0.70524862630350782</v>
      </c>
      <c r="I16" s="3" t="s">
        <v>8</v>
      </c>
      <c r="J16" s="4">
        <v>5</v>
      </c>
      <c r="K16" s="4">
        <v>100</v>
      </c>
      <c r="L16" s="4">
        <v>30</v>
      </c>
      <c r="M16" s="3">
        <v>2.6914819947864621</v>
      </c>
      <c r="N16" s="3">
        <v>2.2571347820870762</v>
      </c>
      <c r="O16" s="3">
        <v>1.6359431372549011</v>
      </c>
      <c r="P16" s="5">
        <f t="shared" si="1"/>
        <v>1.9465389596709888</v>
      </c>
    </row>
    <row r="17" spans="1:16" x14ac:dyDescent="0.25">
      <c r="A17" s="3" t="s">
        <v>7</v>
      </c>
      <c r="B17" s="4">
        <v>0</v>
      </c>
      <c r="C17" s="4">
        <v>100</v>
      </c>
      <c r="D17" s="4">
        <v>17</v>
      </c>
      <c r="E17" s="3">
        <v>2.1987892266242466</v>
      </c>
      <c r="F17" s="3">
        <v>0.74566415166773758</v>
      </c>
      <c r="G17" s="3">
        <v>0.39443529411764711</v>
      </c>
      <c r="H17" s="5">
        <f t="shared" si="0"/>
        <v>0.5700497228926924</v>
      </c>
      <c r="I17" s="3" t="s">
        <v>8</v>
      </c>
      <c r="J17" s="4">
        <v>0</v>
      </c>
      <c r="K17" s="4">
        <v>100</v>
      </c>
      <c r="L17" s="4">
        <v>17</v>
      </c>
      <c r="M17" s="3">
        <v>3.3498467131309262</v>
      </c>
      <c r="N17" s="3">
        <v>0.32666666666666666</v>
      </c>
      <c r="O17" s="3">
        <v>0.73843450980392178</v>
      </c>
      <c r="P17" s="5">
        <f t="shared" si="1"/>
        <v>0.53255058823529422</v>
      </c>
    </row>
    <row r="18" spans="1:16" x14ac:dyDescent="0.25">
      <c r="A18" s="3" t="s">
        <v>7</v>
      </c>
      <c r="B18" s="4">
        <v>0</v>
      </c>
      <c r="C18" s="4">
        <v>100</v>
      </c>
      <c r="D18" s="4">
        <v>25</v>
      </c>
      <c r="E18" s="3">
        <v>0.68799999999999994</v>
      </c>
      <c r="F18" s="3">
        <v>0.60531666149853636</v>
      </c>
      <c r="G18" s="3">
        <v>1.0479168627450985</v>
      </c>
      <c r="H18" s="5">
        <f t="shared" si="0"/>
        <v>0.82661676212181745</v>
      </c>
      <c r="I18" s="3" t="s">
        <v>8</v>
      </c>
      <c r="J18" s="4">
        <v>0</v>
      </c>
      <c r="K18" s="4">
        <v>100</v>
      </c>
      <c r="L18" s="4">
        <v>25</v>
      </c>
      <c r="M18" s="3">
        <v>1.9049999999999998</v>
      </c>
      <c r="N18" s="3">
        <v>0.75369974458053068</v>
      </c>
      <c r="O18" s="3">
        <v>0.50666901960784305</v>
      </c>
      <c r="P18" s="5">
        <f t="shared" si="1"/>
        <v>0.63018438209418681</v>
      </c>
    </row>
    <row r="19" spans="1:16" x14ac:dyDescent="0.25">
      <c r="A19" s="3" t="s">
        <v>7</v>
      </c>
      <c r="B19" s="4">
        <v>0</v>
      </c>
      <c r="C19" s="4">
        <v>100</v>
      </c>
      <c r="D19" s="4">
        <v>30</v>
      </c>
      <c r="E19" s="3">
        <v>2.1704926219625795</v>
      </c>
      <c r="F19" s="3">
        <v>0.8087614999960544</v>
      </c>
      <c r="G19" s="3">
        <v>1.0055054901960785</v>
      </c>
      <c r="H19" s="5">
        <f t="shared" si="0"/>
        <v>0.90713349509606644</v>
      </c>
      <c r="I19" s="3" t="s">
        <v>8</v>
      </c>
      <c r="J19" s="4">
        <v>0</v>
      </c>
      <c r="K19" s="4">
        <v>100</v>
      </c>
      <c r="L19" s="4">
        <v>30</v>
      </c>
      <c r="M19" s="3">
        <v>2.5499999999999998</v>
      </c>
      <c r="N19" s="3">
        <v>1.2279996347553253</v>
      </c>
      <c r="O19" s="3">
        <v>1.0637537254901959</v>
      </c>
      <c r="P19" s="5">
        <f t="shared" si="1"/>
        <v>1.1458766801227607</v>
      </c>
    </row>
    <row r="20" spans="1:16" x14ac:dyDescent="0.25">
      <c r="A20" s="3" t="s">
        <v>7</v>
      </c>
      <c r="B20" s="4">
        <v>50</v>
      </c>
      <c r="C20" s="4">
        <v>90</v>
      </c>
      <c r="D20" s="4">
        <v>17</v>
      </c>
      <c r="E20" s="3">
        <v>1.3129325533007616</v>
      </c>
      <c r="F20" s="3">
        <v>0.78364164322935004</v>
      </c>
      <c r="G20" s="3">
        <v>1.8146843137254902</v>
      </c>
      <c r="H20" s="5">
        <f t="shared" si="0"/>
        <v>1.2991629784774201</v>
      </c>
      <c r="I20" s="3" t="s">
        <v>8</v>
      </c>
      <c r="J20" s="4">
        <v>50</v>
      </c>
      <c r="K20" s="4">
        <v>90</v>
      </c>
      <c r="L20" s="4">
        <v>17</v>
      </c>
      <c r="M20" s="3">
        <v>6.1254885469870715</v>
      </c>
      <c r="N20" s="3">
        <v>3.6025013825982359</v>
      </c>
      <c r="O20" s="3">
        <v>1.6533098039215686</v>
      </c>
      <c r="P20" s="5">
        <f t="shared" si="1"/>
        <v>2.6279055932599023</v>
      </c>
    </row>
    <row r="21" spans="1:16" x14ac:dyDescent="0.25">
      <c r="A21" s="3" t="s">
        <v>7</v>
      </c>
      <c r="B21" s="4">
        <v>50</v>
      </c>
      <c r="C21" s="4">
        <v>90</v>
      </c>
      <c r="D21" s="4">
        <v>25</v>
      </c>
      <c r="E21" s="3">
        <v>2.0439999999999996</v>
      </c>
      <c r="F21" s="3">
        <v>1.109808355367409</v>
      </c>
      <c r="G21" s="3">
        <v>0.96855607843137281</v>
      </c>
      <c r="H21" s="5">
        <f t="shared" si="0"/>
        <v>1.0391822168993909</v>
      </c>
      <c r="I21" s="3" t="s">
        <v>8</v>
      </c>
      <c r="J21" s="4">
        <v>50</v>
      </c>
      <c r="K21" s="4">
        <v>90</v>
      </c>
      <c r="L21" s="4">
        <v>25</v>
      </c>
      <c r="M21" s="3">
        <v>7.8486666666666682</v>
      </c>
      <c r="N21" s="3">
        <v>4.9009476548122555</v>
      </c>
      <c r="O21" s="3">
        <v>2.2491317647058819</v>
      </c>
      <c r="P21" s="5">
        <f t="shared" si="1"/>
        <v>3.5750397097590687</v>
      </c>
    </row>
    <row r="22" spans="1:16" x14ac:dyDescent="0.25">
      <c r="A22" s="3" t="s">
        <v>7</v>
      </c>
      <c r="B22" s="4">
        <v>50</v>
      </c>
      <c r="C22" s="4">
        <v>90</v>
      </c>
      <c r="D22" s="4">
        <v>30</v>
      </c>
      <c r="E22" s="3">
        <v>2.4334340968227135</v>
      </c>
      <c r="F22" s="3">
        <v>1.0258785241226807</v>
      </c>
      <c r="G22" s="3">
        <v>1.1021850980392156</v>
      </c>
      <c r="H22" s="5">
        <f t="shared" si="0"/>
        <v>1.0640318110809481</v>
      </c>
      <c r="I22" s="3" t="s">
        <v>8</v>
      </c>
      <c r="J22" s="4">
        <v>50</v>
      </c>
      <c r="K22" s="4">
        <v>90</v>
      </c>
      <c r="L22" s="4">
        <v>30</v>
      </c>
      <c r="M22" s="3">
        <v>2.9240496701845373</v>
      </c>
      <c r="N22" s="3">
        <v>2.195597024481541</v>
      </c>
      <c r="O22" s="3">
        <v>3.4918192156862737</v>
      </c>
      <c r="P22" s="5">
        <f t="shared" si="1"/>
        <v>2.8437081200839076</v>
      </c>
    </row>
    <row r="23" spans="1:16" x14ac:dyDescent="0.25">
      <c r="A23" s="3" t="s">
        <v>7</v>
      </c>
      <c r="B23" s="4">
        <v>25</v>
      </c>
      <c r="C23" s="4">
        <v>90</v>
      </c>
      <c r="D23" s="4">
        <v>17</v>
      </c>
      <c r="E23" s="3">
        <v>1.6920814248157519</v>
      </c>
      <c r="F23" s="3">
        <v>1.2673137077616858</v>
      </c>
      <c r="G23" s="3">
        <v>1.7337317647058827</v>
      </c>
      <c r="H23" s="5">
        <f t="shared" si="0"/>
        <v>1.5005227362337843</v>
      </c>
      <c r="I23" s="3" t="s">
        <v>8</v>
      </c>
      <c r="J23" s="4">
        <v>25</v>
      </c>
      <c r="K23" s="4">
        <v>90</v>
      </c>
      <c r="L23" s="4">
        <v>17</v>
      </c>
      <c r="M23" s="3">
        <v>7.3747710165416995</v>
      </c>
      <c r="N23" s="3">
        <v>3.7278404093695952</v>
      </c>
      <c r="O23" s="3">
        <v>2.4148525490196073</v>
      </c>
      <c r="P23" s="5">
        <f t="shared" si="1"/>
        <v>3.0713464791946015</v>
      </c>
    </row>
    <row r="24" spans="1:16" x14ac:dyDescent="0.25">
      <c r="A24" s="3" t="s">
        <v>7</v>
      </c>
      <c r="B24" s="4">
        <v>25</v>
      </c>
      <c r="C24" s="4">
        <v>90</v>
      </c>
      <c r="D24" s="4">
        <v>25</v>
      </c>
      <c r="E24" s="3">
        <v>2.5289999999999999</v>
      </c>
      <c r="F24" s="3">
        <v>0.3012794499525856</v>
      </c>
      <c r="G24" s="3">
        <v>0.9881231372549022</v>
      </c>
      <c r="H24" s="5">
        <f t="shared" si="0"/>
        <v>0.64470129360374395</v>
      </c>
      <c r="I24" s="3" t="s">
        <v>8</v>
      </c>
      <c r="J24" s="4">
        <v>25</v>
      </c>
      <c r="K24" s="4">
        <v>90</v>
      </c>
      <c r="L24" s="4">
        <v>25</v>
      </c>
      <c r="M24" s="3">
        <v>7.0673333333333339</v>
      </c>
      <c r="N24" s="3">
        <v>2.92</v>
      </c>
      <c r="O24" s="3">
        <v>2.0631949019607845</v>
      </c>
      <c r="P24" s="5">
        <f t="shared" si="1"/>
        <v>2.4915974509803922</v>
      </c>
    </row>
    <row r="25" spans="1:16" x14ac:dyDescent="0.25">
      <c r="A25" s="3" t="s">
        <v>7</v>
      </c>
      <c r="B25" s="4">
        <v>25</v>
      </c>
      <c r="C25" s="4">
        <v>90</v>
      </c>
      <c r="D25" s="4">
        <v>30</v>
      </c>
      <c r="E25" s="3">
        <v>3.3294571242439472</v>
      </c>
      <c r="F25" s="3">
        <v>1.8317548006605147</v>
      </c>
      <c r="G25" s="3">
        <v>1.0779007843137256</v>
      </c>
      <c r="H25" s="5">
        <f t="shared" si="0"/>
        <v>1.4548277924871202</v>
      </c>
      <c r="I25" s="3" t="s">
        <v>8</v>
      </c>
      <c r="J25" s="4">
        <v>25</v>
      </c>
      <c r="K25" s="4">
        <v>90</v>
      </c>
      <c r="L25" s="4">
        <v>30</v>
      </c>
      <c r="M25" s="3">
        <v>7.2555731278775104</v>
      </c>
      <c r="N25" s="3">
        <v>4.9117982134811022</v>
      </c>
      <c r="O25" s="3">
        <v>1.7325717647058827</v>
      </c>
      <c r="P25" s="5">
        <f t="shared" si="1"/>
        <v>3.3221849890934925</v>
      </c>
    </row>
    <row r="26" spans="1:16" x14ac:dyDescent="0.25">
      <c r="A26" s="3" t="s">
        <v>7</v>
      </c>
      <c r="B26" s="4">
        <v>15</v>
      </c>
      <c r="C26" s="4">
        <v>90</v>
      </c>
      <c r="D26" s="4">
        <v>17</v>
      </c>
      <c r="E26" s="3">
        <v>2.4299785422848084</v>
      </c>
      <c r="F26" s="3">
        <v>0.12522000952504531</v>
      </c>
      <c r="G26" s="3">
        <v>1.0471564705882355</v>
      </c>
      <c r="H26" s="5">
        <f t="shared" si="0"/>
        <v>0.58618824005664039</v>
      </c>
      <c r="I26" s="3" t="s">
        <v>8</v>
      </c>
      <c r="J26" s="4">
        <v>15</v>
      </c>
      <c r="K26" s="4">
        <v>90</v>
      </c>
      <c r="L26" s="4">
        <v>17</v>
      </c>
      <c r="M26" s="3">
        <v>3.3005576862624753</v>
      </c>
      <c r="N26" s="3">
        <v>2.3278876651515539</v>
      </c>
      <c r="O26" s="3">
        <v>0.18433333333333338</v>
      </c>
      <c r="P26" s="5">
        <f t="shared" si="1"/>
        <v>1.2561104992424437</v>
      </c>
    </row>
    <row r="27" spans="1:16" x14ac:dyDescent="0.25">
      <c r="A27" s="3" t="s">
        <v>7</v>
      </c>
      <c r="B27" s="4">
        <v>15</v>
      </c>
      <c r="C27" s="4">
        <v>90</v>
      </c>
      <c r="D27" s="4">
        <v>25</v>
      </c>
      <c r="E27" s="3">
        <v>3.5750000000000002</v>
      </c>
      <c r="F27" s="3">
        <v>0.97453231508024296</v>
      </c>
      <c r="G27" s="3">
        <v>0.79278941176470608</v>
      </c>
      <c r="H27" s="5">
        <f t="shared" si="0"/>
        <v>0.88366086342247452</v>
      </c>
      <c r="I27" s="3" t="s">
        <v>8</v>
      </c>
      <c r="J27" s="4">
        <v>15</v>
      </c>
      <c r="K27" s="4">
        <v>90</v>
      </c>
      <c r="L27" s="4">
        <v>25</v>
      </c>
      <c r="M27" s="3">
        <v>5.0483333333333302</v>
      </c>
      <c r="N27" s="3">
        <v>2.7217651362895312</v>
      </c>
      <c r="O27" s="3">
        <v>0.7200399999999999</v>
      </c>
      <c r="P27" s="5">
        <f t="shared" si="1"/>
        <v>1.7209025681447656</v>
      </c>
    </row>
    <row r="28" spans="1:16" x14ac:dyDescent="0.25">
      <c r="A28" s="3" t="s">
        <v>7</v>
      </c>
      <c r="B28" s="4">
        <v>15</v>
      </c>
      <c r="C28" s="4">
        <v>90</v>
      </c>
      <c r="D28" s="4">
        <v>30</v>
      </c>
      <c r="E28" s="3">
        <v>3.0414274494756692</v>
      </c>
      <c r="F28" s="3">
        <v>0.72448188632721888</v>
      </c>
      <c r="G28" s="3">
        <v>1.0168980392156866</v>
      </c>
      <c r="H28" s="5">
        <f t="shared" si="0"/>
        <v>0.87068996277145272</v>
      </c>
      <c r="I28" s="3" t="s">
        <v>8</v>
      </c>
      <c r="J28" s="4">
        <v>15</v>
      </c>
      <c r="K28" s="4">
        <v>90</v>
      </c>
      <c r="L28" s="4">
        <v>30</v>
      </c>
      <c r="M28" s="3">
        <v>5.0739841158180496</v>
      </c>
      <c r="N28" s="3">
        <v>4.9687701847277737</v>
      </c>
      <c r="O28" s="3">
        <v>1.6308286274509807</v>
      </c>
      <c r="P28" s="5">
        <f t="shared" si="1"/>
        <v>3.2997994060893774</v>
      </c>
    </row>
    <row r="29" spans="1:16" x14ac:dyDescent="0.25">
      <c r="A29" s="3" t="s">
        <v>7</v>
      </c>
      <c r="B29" s="4">
        <v>10</v>
      </c>
      <c r="C29" s="4">
        <v>90</v>
      </c>
      <c r="D29" s="4">
        <v>17</v>
      </c>
      <c r="E29" s="3">
        <v>2.6405285444035043</v>
      </c>
      <c r="F29" s="3">
        <v>0.88511529614728324</v>
      </c>
      <c r="G29" s="3">
        <v>1.1990423529411764</v>
      </c>
      <c r="H29" s="5">
        <f t="shared" si="0"/>
        <v>1.0420788245442298</v>
      </c>
      <c r="I29" s="3" t="s">
        <v>8</v>
      </c>
      <c r="J29" s="4">
        <v>10</v>
      </c>
      <c r="K29" s="4">
        <v>90</v>
      </c>
      <c r="L29" s="4">
        <v>17</v>
      </c>
      <c r="M29" s="3">
        <v>4.2345083471248302</v>
      </c>
      <c r="N29" s="3">
        <v>1.6049895840234658</v>
      </c>
      <c r="O29" s="3">
        <v>2.0388807843137253</v>
      </c>
      <c r="P29" s="5">
        <f t="shared" si="1"/>
        <v>1.8219351841685956</v>
      </c>
    </row>
    <row r="30" spans="1:16" x14ac:dyDescent="0.25">
      <c r="A30" s="3" t="s">
        <v>7</v>
      </c>
      <c r="B30" s="4">
        <v>10</v>
      </c>
      <c r="C30" s="4">
        <v>90</v>
      </c>
      <c r="D30" s="4">
        <v>25</v>
      </c>
      <c r="E30" s="3">
        <v>1.83</v>
      </c>
      <c r="F30" s="3">
        <v>1.1616362734938837</v>
      </c>
      <c r="G30" s="3">
        <v>0.72715176470588272</v>
      </c>
      <c r="H30" s="5">
        <f t="shared" si="0"/>
        <v>0.94439401909988319</v>
      </c>
      <c r="I30" s="3" t="s">
        <v>8</v>
      </c>
      <c r="J30" s="4">
        <v>10</v>
      </c>
      <c r="K30" s="4">
        <v>90</v>
      </c>
      <c r="L30" s="4">
        <v>25</v>
      </c>
      <c r="M30" s="3">
        <v>3.1694999999999989</v>
      </c>
      <c r="N30" s="3">
        <v>1.7546266569941857</v>
      </c>
      <c r="O30" s="3">
        <v>1.8053870588235295</v>
      </c>
      <c r="P30" s="5">
        <f t="shared" si="1"/>
        <v>1.7800068579088575</v>
      </c>
    </row>
    <row r="31" spans="1:16" x14ac:dyDescent="0.25">
      <c r="A31" s="3" t="s">
        <v>7</v>
      </c>
      <c r="B31" s="4">
        <v>10</v>
      </c>
      <c r="C31" s="4">
        <v>90</v>
      </c>
      <c r="D31" s="4">
        <v>30</v>
      </c>
      <c r="E31" s="3">
        <v>1.9</v>
      </c>
      <c r="F31" s="3">
        <v>0.99798008395209259</v>
      </c>
      <c r="G31" s="3">
        <v>0.94613176470588223</v>
      </c>
      <c r="H31" s="5">
        <f t="shared" si="0"/>
        <v>0.97205592432898746</v>
      </c>
      <c r="I31" s="3" t="s">
        <v>8</v>
      </c>
      <c r="J31" s="4">
        <v>10</v>
      </c>
      <c r="K31" s="4">
        <v>90</v>
      </c>
      <c r="L31" s="4">
        <v>30</v>
      </c>
      <c r="M31" s="3">
        <v>5.4250000000000007</v>
      </c>
      <c r="N31" s="3">
        <v>2.7026086391863542</v>
      </c>
      <c r="O31" s="3">
        <v>0.7351133333333334</v>
      </c>
      <c r="P31" s="5">
        <f t="shared" si="1"/>
        <v>1.7188609862598438</v>
      </c>
    </row>
    <row r="32" spans="1:16" x14ac:dyDescent="0.25">
      <c r="A32" s="3" t="s">
        <v>7</v>
      </c>
      <c r="B32" s="4">
        <v>5</v>
      </c>
      <c r="C32" s="4">
        <v>90</v>
      </c>
      <c r="D32" s="4">
        <v>17</v>
      </c>
      <c r="E32" s="3">
        <v>2.1940005031154413</v>
      </c>
      <c r="F32" s="3">
        <v>0.586013316864614</v>
      </c>
      <c r="G32" s="3">
        <v>0.71576313725490193</v>
      </c>
      <c r="H32" s="5">
        <f t="shared" si="0"/>
        <v>0.65088822705975802</v>
      </c>
      <c r="I32" s="3" t="s">
        <v>8</v>
      </c>
      <c r="J32" s="4">
        <v>5</v>
      </c>
      <c r="K32" s="4">
        <v>90</v>
      </c>
      <c r="L32" s="4">
        <v>17</v>
      </c>
      <c r="M32" s="3">
        <v>3.0698077486827762</v>
      </c>
      <c r="N32" s="3">
        <v>0.84333333333333327</v>
      </c>
      <c r="O32" s="3">
        <v>0.66255450980392117</v>
      </c>
      <c r="P32" s="5">
        <f t="shared" si="1"/>
        <v>0.75294392156862722</v>
      </c>
    </row>
    <row r="33" spans="1:16" x14ac:dyDescent="0.25">
      <c r="A33" s="3" t="s">
        <v>7</v>
      </c>
      <c r="B33" s="4">
        <v>5</v>
      </c>
      <c r="C33" s="4">
        <v>90</v>
      </c>
      <c r="D33" s="4">
        <v>25</v>
      </c>
      <c r="E33" s="3">
        <v>1.7379999999999998</v>
      </c>
      <c r="F33" s="3">
        <v>0.95670622393677118</v>
      </c>
      <c r="G33" s="3">
        <v>0.75664431372549035</v>
      </c>
      <c r="H33" s="5">
        <f t="shared" si="0"/>
        <v>0.85667526883113077</v>
      </c>
      <c r="I33" s="3" t="s">
        <v>8</v>
      </c>
      <c r="J33" s="4">
        <v>5</v>
      </c>
      <c r="K33" s="4">
        <v>90</v>
      </c>
      <c r="L33" s="4">
        <v>25</v>
      </c>
      <c r="M33" s="3">
        <v>2.8719999999999999</v>
      </c>
      <c r="N33" s="3">
        <v>1.1799788544038134</v>
      </c>
      <c r="O33" s="3">
        <v>1.2311556862745099</v>
      </c>
      <c r="P33" s="5">
        <f t="shared" si="1"/>
        <v>1.2055672703391616</v>
      </c>
    </row>
    <row r="34" spans="1:16" x14ac:dyDescent="0.25">
      <c r="A34" s="3" t="s">
        <v>7</v>
      </c>
      <c r="B34" s="4">
        <v>5</v>
      </c>
      <c r="C34" s="4">
        <v>90</v>
      </c>
      <c r="D34" s="4">
        <v>30</v>
      </c>
      <c r="E34" s="3">
        <v>1.7179170452098915</v>
      </c>
      <c r="F34" s="3">
        <v>0.38999999999999996</v>
      </c>
      <c r="G34" s="3">
        <v>0.54330274509803911</v>
      </c>
      <c r="H34" s="5">
        <f t="shared" si="0"/>
        <v>0.46665137254901956</v>
      </c>
      <c r="I34" s="3" t="s">
        <v>8</v>
      </c>
      <c r="J34" s="4">
        <v>5</v>
      </c>
      <c r="K34" s="4">
        <v>90</v>
      </c>
      <c r="L34" s="4">
        <v>30</v>
      </c>
      <c r="M34" s="3">
        <v>3.3242250218765044</v>
      </c>
      <c r="N34" s="3">
        <v>3.596628616138918</v>
      </c>
      <c r="O34" s="3">
        <v>1.1303878431372549</v>
      </c>
      <c r="P34" s="5">
        <f t="shared" si="1"/>
        <v>2.3635082296380867</v>
      </c>
    </row>
    <row r="35" spans="1:16" x14ac:dyDescent="0.25">
      <c r="A35" s="3" t="s">
        <v>7</v>
      </c>
      <c r="B35" s="4">
        <v>0</v>
      </c>
      <c r="C35" s="4">
        <v>90</v>
      </c>
      <c r="D35" s="4">
        <v>17</v>
      </c>
      <c r="E35" s="3">
        <v>2.3157365573465523</v>
      </c>
      <c r="F35" s="3">
        <v>0.46271147609910651</v>
      </c>
      <c r="G35" s="3">
        <v>0.71400392156862746</v>
      </c>
      <c r="H35" s="5">
        <f t="shared" si="0"/>
        <v>0.58835769883386702</v>
      </c>
      <c r="I35" s="3" t="s">
        <v>8</v>
      </c>
      <c r="J35" s="4">
        <v>0</v>
      </c>
      <c r="K35" s="4">
        <v>90</v>
      </c>
      <c r="L35" s="4">
        <v>17</v>
      </c>
      <c r="M35" s="3">
        <v>2.7819949415008356</v>
      </c>
      <c r="N35" s="3">
        <v>0.66</v>
      </c>
      <c r="O35" s="3">
        <v>0.97409176470588199</v>
      </c>
      <c r="P35" s="5">
        <f t="shared" si="1"/>
        <v>0.81704588235294096</v>
      </c>
    </row>
    <row r="36" spans="1:16" x14ac:dyDescent="0.25">
      <c r="A36" s="3" t="s">
        <v>7</v>
      </c>
      <c r="B36" s="4">
        <v>0</v>
      </c>
      <c r="C36" s="4">
        <v>90</v>
      </c>
      <c r="D36" s="4">
        <v>25</v>
      </c>
      <c r="E36" s="3">
        <v>1.1679999999999997</v>
      </c>
      <c r="F36" s="3">
        <v>0.68782096323282649</v>
      </c>
      <c r="G36" s="3">
        <v>0.75523725490196081</v>
      </c>
      <c r="H36" s="5">
        <f t="shared" si="0"/>
        <v>0.72152910906739365</v>
      </c>
      <c r="I36" s="3" t="s">
        <v>8</v>
      </c>
      <c r="J36" s="4">
        <v>0</v>
      </c>
      <c r="K36" s="4">
        <v>90</v>
      </c>
      <c r="L36" s="4">
        <v>25</v>
      </c>
      <c r="M36" s="3">
        <v>2.7724999999999995</v>
      </c>
      <c r="N36" s="3">
        <v>1.0502133880466871</v>
      </c>
      <c r="O36" s="3">
        <v>0.27643999999999996</v>
      </c>
      <c r="P36" s="5">
        <f t="shared" si="1"/>
        <v>0.66332669402334354</v>
      </c>
    </row>
    <row r="37" spans="1:16" x14ac:dyDescent="0.25">
      <c r="A37" s="3" t="s">
        <v>7</v>
      </c>
      <c r="B37" s="4">
        <v>0</v>
      </c>
      <c r="C37" s="4">
        <v>90</v>
      </c>
      <c r="D37" s="4">
        <v>30</v>
      </c>
      <c r="E37" s="3">
        <v>1.5741540489770891</v>
      </c>
      <c r="F37" s="3">
        <v>0.81170395305635457</v>
      </c>
      <c r="G37" s="3">
        <v>1.3262458823529415</v>
      </c>
      <c r="H37" s="5">
        <f t="shared" si="0"/>
        <v>1.0689749177046481</v>
      </c>
      <c r="I37" s="3" t="s">
        <v>8</v>
      </c>
      <c r="J37" s="4">
        <v>0</v>
      </c>
      <c r="K37" s="4">
        <v>90</v>
      </c>
      <c r="L37" s="4">
        <v>30</v>
      </c>
      <c r="M37" s="3">
        <v>3.6099712057725726</v>
      </c>
      <c r="N37" s="3">
        <v>2.0128023604726462</v>
      </c>
      <c r="O37" s="3">
        <v>0.67288000000000014</v>
      </c>
      <c r="P37" s="5">
        <f t="shared" si="1"/>
        <v>1.3428411802363232</v>
      </c>
    </row>
    <row r="41" spans="1:16" x14ac:dyDescent="0.25">
      <c r="C41" s="21" t="s">
        <v>96</v>
      </c>
      <c r="D41" s="21" t="s">
        <v>97</v>
      </c>
    </row>
    <row r="42" spans="1:16" x14ac:dyDescent="0.25">
      <c r="C42" s="21">
        <v>36</v>
      </c>
      <c r="D42" s="21">
        <f>36*2</f>
        <v>72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51"/>
  <sheetViews>
    <sheetView workbookViewId="0">
      <selection activeCell="F28" sqref="F28"/>
    </sheetView>
  </sheetViews>
  <sheetFormatPr defaultRowHeight="14.4" x14ac:dyDescent="0.25"/>
  <cols>
    <col min="4" max="4" width="12.554687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10</v>
      </c>
      <c r="E1" s="1" t="s">
        <v>9</v>
      </c>
      <c r="F1" s="1"/>
    </row>
    <row r="2" spans="1:6" s="21" customFormat="1" x14ac:dyDescent="0.25">
      <c r="A2" s="19">
        <v>0</v>
      </c>
      <c r="B2" s="20">
        <v>50</v>
      </c>
      <c r="C2" s="20">
        <v>100</v>
      </c>
      <c r="D2" s="20">
        <v>17</v>
      </c>
      <c r="E2" s="19">
        <v>1.6136685092189937</v>
      </c>
    </row>
    <row r="3" spans="1:6" s="21" customFormat="1" x14ac:dyDescent="0.25">
      <c r="A3" s="19">
        <v>0</v>
      </c>
      <c r="B3" s="20">
        <v>50</v>
      </c>
      <c r="C3" s="20">
        <v>100</v>
      </c>
      <c r="D3" s="20">
        <v>25</v>
      </c>
      <c r="E3" s="19">
        <v>1.7963303317723665</v>
      </c>
    </row>
    <row r="4" spans="1:6" s="21" customFormat="1" x14ac:dyDescent="0.25">
      <c r="A4" s="19">
        <v>0</v>
      </c>
      <c r="B4" s="20">
        <v>50</v>
      </c>
      <c r="C4" s="20">
        <v>100</v>
      </c>
      <c r="D4" s="20">
        <v>30</v>
      </c>
      <c r="E4" s="19">
        <v>1.3122897989351414</v>
      </c>
    </row>
    <row r="5" spans="1:6" x14ac:dyDescent="0.25">
      <c r="A5" s="3">
        <v>0</v>
      </c>
      <c r="B5" s="4">
        <v>25</v>
      </c>
      <c r="C5" s="4">
        <v>100</v>
      </c>
      <c r="D5" s="4">
        <v>17</v>
      </c>
      <c r="E5" s="3">
        <v>1.2373406398322817</v>
      </c>
    </row>
    <row r="6" spans="1:6" x14ac:dyDescent="0.25">
      <c r="A6" s="3">
        <v>0</v>
      </c>
      <c r="B6" s="4">
        <v>25</v>
      </c>
      <c r="C6" s="4">
        <v>100</v>
      </c>
      <c r="D6" s="4">
        <v>25</v>
      </c>
      <c r="E6" s="3">
        <v>1.0823033824408053</v>
      </c>
    </row>
    <row r="7" spans="1:6" x14ac:dyDescent="0.25">
      <c r="A7" s="3">
        <v>0</v>
      </c>
      <c r="B7" s="4">
        <v>25</v>
      </c>
      <c r="C7" s="4">
        <v>100</v>
      </c>
      <c r="D7" s="4">
        <v>30</v>
      </c>
      <c r="E7" s="3">
        <v>1.3801730579410387</v>
      </c>
    </row>
    <row r="8" spans="1:6" x14ac:dyDescent="0.25">
      <c r="A8" s="3">
        <v>0</v>
      </c>
      <c r="B8" s="4">
        <v>15</v>
      </c>
      <c r="C8" s="4">
        <v>100</v>
      </c>
      <c r="D8" s="4">
        <v>17</v>
      </c>
      <c r="E8" s="3">
        <v>1.2045122004220739</v>
      </c>
    </row>
    <row r="9" spans="1:6" x14ac:dyDescent="0.25">
      <c r="A9" s="3">
        <v>0</v>
      </c>
      <c r="B9" s="4">
        <v>15</v>
      </c>
      <c r="C9" s="4">
        <v>100</v>
      </c>
      <c r="D9" s="4">
        <v>25</v>
      </c>
      <c r="E9" s="3">
        <v>1.4000716960691419</v>
      </c>
    </row>
    <row r="10" spans="1:6" x14ac:dyDescent="0.25">
      <c r="A10" s="3">
        <v>0</v>
      </c>
      <c r="B10" s="4">
        <v>15</v>
      </c>
      <c r="C10" s="4">
        <v>100</v>
      </c>
      <c r="D10" s="4">
        <v>30</v>
      </c>
      <c r="E10" s="3">
        <v>1.5649412676440351</v>
      </c>
    </row>
    <row r="11" spans="1:6" x14ac:dyDescent="0.25">
      <c r="A11" s="3">
        <v>0</v>
      </c>
      <c r="B11" s="4">
        <v>10</v>
      </c>
      <c r="C11" s="4">
        <v>100</v>
      </c>
      <c r="D11" s="4">
        <v>17</v>
      </c>
      <c r="E11" s="3">
        <v>1.2109138507845978</v>
      </c>
    </row>
    <row r="12" spans="1:6" x14ac:dyDescent="0.25">
      <c r="A12" s="3">
        <v>0</v>
      </c>
      <c r="B12" s="4">
        <v>10</v>
      </c>
      <c r="C12" s="4">
        <v>100</v>
      </c>
      <c r="D12" s="4">
        <v>25</v>
      </c>
      <c r="E12" s="3">
        <v>0.37084558091077735</v>
      </c>
    </row>
    <row r="13" spans="1:6" x14ac:dyDescent="0.25">
      <c r="A13" s="3">
        <v>0</v>
      </c>
      <c r="B13" s="4">
        <v>10</v>
      </c>
      <c r="C13" s="4">
        <v>100</v>
      </c>
      <c r="D13" s="4">
        <v>30</v>
      </c>
      <c r="E13" s="3">
        <v>1.2364870655323363</v>
      </c>
    </row>
    <row r="14" spans="1:6" s="24" customFormat="1" x14ac:dyDescent="0.25">
      <c r="A14" s="22">
        <v>0</v>
      </c>
      <c r="B14" s="23">
        <v>5</v>
      </c>
      <c r="C14" s="23">
        <v>100</v>
      </c>
      <c r="D14" s="23">
        <v>17</v>
      </c>
      <c r="E14" s="22">
        <v>1.2546989877340116</v>
      </c>
    </row>
    <row r="15" spans="1:6" s="24" customFormat="1" x14ac:dyDescent="0.25">
      <c r="A15" s="22">
        <v>0</v>
      </c>
      <c r="B15" s="23">
        <v>5</v>
      </c>
      <c r="C15" s="23">
        <v>100</v>
      </c>
      <c r="D15" s="23">
        <v>25</v>
      </c>
      <c r="E15" s="22">
        <v>0.95104343066058783</v>
      </c>
    </row>
    <row r="16" spans="1:6" s="24" customFormat="1" x14ac:dyDescent="0.25">
      <c r="A16" s="22">
        <v>0</v>
      </c>
      <c r="B16" s="23">
        <v>5</v>
      </c>
      <c r="C16" s="23">
        <v>100</v>
      </c>
      <c r="D16" s="23">
        <v>30</v>
      </c>
      <c r="E16" s="22">
        <v>0.24681489966583925</v>
      </c>
    </row>
    <row r="17" spans="1:5" x14ac:dyDescent="0.25">
      <c r="A17" s="3">
        <v>0</v>
      </c>
      <c r="B17" s="4">
        <v>0</v>
      </c>
      <c r="C17" s="4">
        <v>100</v>
      </c>
      <c r="D17" s="4">
        <v>17</v>
      </c>
      <c r="E17" s="3">
        <v>0.74566415166773758</v>
      </c>
    </row>
    <row r="18" spans="1:5" x14ac:dyDescent="0.25">
      <c r="A18" s="3">
        <v>0</v>
      </c>
      <c r="B18" s="4">
        <v>0</v>
      </c>
      <c r="C18" s="4">
        <v>100</v>
      </c>
      <c r="D18" s="4">
        <v>25</v>
      </c>
      <c r="E18" s="3">
        <v>0.60531666149853636</v>
      </c>
    </row>
    <row r="19" spans="1:5" x14ac:dyDescent="0.25">
      <c r="A19" s="3">
        <v>0</v>
      </c>
      <c r="B19" s="4">
        <v>0</v>
      </c>
      <c r="C19" s="4">
        <v>100</v>
      </c>
      <c r="D19" s="4">
        <v>30</v>
      </c>
      <c r="E19" s="3">
        <v>0.8087614999960544</v>
      </c>
    </row>
    <row r="20" spans="1:5" x14ac:dyDescent="0.25">
      <c r="A20" s="3">
        <v>0</v>
      </c>
      <c r="B20" s="4">
        <v>50</v>
      </c>
      <c r="C20" s="4">
        <v>90</v>
      </c>
      <c r="D20" s="4">
        <v>17</v>
      </c>
      <c r="E20" s="3">
        <v>0.78364164322935004</v>
      </c>
    </row>
    <row r="21" spans="1:5" x14ac:dyDescent="0.25">
      <c r="A21" s="3">
        <v>0</v>
      </c>
      <c r="B21" s="4">
        <v>50</v>
      </c>
      <c r="C21" s="4">
        <v>90</v>
      </c>
      <c r="D21" s="4">
        <v>25</v>
      </c>
      <c r="E21" s="3">
        <v>1.109808355367409</v>
      </c>
    </row>
    <row r="22" spans="1:5" x14ac:dyDescent="0.25">
      <c r="A22" s="3">
        <v>0</v>
      </c>
      <c r="B22" s="4">
        <v>50</v>
      </c>
      <c r="C22" s="4">
        <v>90</v>
      </c>
      <c r="D22" s="4">
        <v>30</v>
      </c>
      <c r="E22" s="3">
        <v>1.0258785241226807</v>
      </c>
    </row>
    <row r="23" spans="1:5" x14ac:dyDescent="0.25">
      <c r="A23" s="3">
        <v>0</v>
      </c>
      <c r="B23" s="4">
        <v>25</v>
      </c>
      <c r="C23" s="4">
        <v>90</v>
      </c>
      <c r="D23" s="4">
        <v>17</v>
      </c>
      <c r="E23" s="3">
        <v>1.2673137077616858</v>
      </c>
    </row>
    <row r="24" spans="1:5" x14ac:dyDescent="0.25">
      <c r="A24" s="3">
        <v>0</v>
      </c>
      <c r="B24" s="4">
        <v>25</v>
      </c>
      <c r="C24" s="4">
        <v>90</v>
      </c>
      <c r="D24" s="4">
        <v>25</v>
      </c>
      <c r="E24" s="3">
        <v>0.3012794499525856</v>
      </c>
    </row>
    <row r="25" spans="1:5" x14ac:dyDescent="0.25">
      <c r="A25" s="3">
        <v>0</v>
      </c>
      <c r="B25" s="4">
        <v>25</v>
      </c>
      <c r="C25" s="4">
        <v>90</v>
      </c>
      <c r="D25" s="4">
        <v>30</v>
      </c>
      <c r="E25" s="3">
        <v>1.8317548006605147</v>
      </c>
    </row>
    <row r="26" spans="1:5" x14ac:dyDescent="0.25">
      <c r="A26" s="3">
        <v>0</v>
      </c>
      <c r="B26" s="4">
        <v>15</v>
      </c>
      <c r="C26" s="4">
        <v>90</v>
      </c>
      <c r="D26" s="4">
        <v>17</v>
      </c>
      <c r="E26" s="3">
        <v>0.12522000952504531</v>
      </c>
    </row>
    <row r="27" spans="1:5" x14ac:dyDescent="0.25">
      <c r="A27" s="3">
        <v>0</v>
      </c>
      <c r="B27" s="4">
        <v>15</v>
      </c>
      <c r="C27" s="4">
        <v>90</v>
      </c>
      <c r="D27" s="4">
        <v>25</v>
      </c>
      <c r="E27" s="3">
        <v>0.97453231508024296</v>
      </c>
    </row>
    <row r="28" spans="1:5" x14ac:dyDescent="0.25">
      <c r="A28" s="3">
        <v>0</v>
      </c>
      <c r="B28" s="4">
        <v>15</v>
      </c>
      <c r="C28" s="4">
        <v>90</v>
      </c>
      <c r="D28" s="4">
        <v>30</v>
      </c>
      <c r="E28" s="3">
        <v>0.72448188632721888</v>
      </c>
    </row>
    <row r="29" spans="1:5" x14ac:dyDescent="0.25">
      <c r="A29" s="3">
        <v>0</v>
      </c>
      <c r="B29" s="4">
        <v>10</v>
      </c>
      <c r="C29" s="4">
        <v>90</v>
      </c>
      <c r="D29" s="4">
        <v>17</v>
      </c>
      <c r="E29" s="3">
        <v>0.88511529614728324</v>
      </c>
    </row>
    <row r="30" spans="1:5" x14ac:dyDescent="0.25">
      <c r="A30" s="3">
        <v>0</v>
      </c>
      <c r="B30" s="4">
        <v>10</v>
      </c>
      <c r="C30" s="4">
        <v>90</v>
      </c>
      <c r="D30" s="4">
        <v>25</v>
      </c>
      <c r="E30" s="3">
        <v>1.1616362734938837</v>
      </c>
    </row>
    <row r="31" spans="1:5" x14ac:dyDescent="0.25">
      <c r="A31" s="3">
        <v>0</v>
      </c>
      <c r="B31" s="4">
        <v>10</v>
      </c>
      <c r="C31" s="4">
        <v>90</v>
      </c>
      <c r="D31" s="4">
        <v>30</v>
      </c>
      <c r="E31" s="3">
        <v>0.99798008395209259</v>
      </c>
    </row>
    <row r="32" spans="1:5" x14ac:dyDescent="0.25">
      <c r="A32" s="3">
        <v>0</v>
      </c>
      <c r="B32" s="4">
        <v>5</v>
      </c>
      <c r="C32" s="4">
        <v>90</v>
      </c>
      <c r="D32" s="4">
        <v>17</v>
      </c>
      <c r="E32" s="3">
        <v>0.586013316864614</v>
      </c>
    </row>
    <row r="33" spans="1:5" x14ac:dyDescent="0.25">
      <c r="A33" s="3">
        <v>0</v>
      </c>
      <c r="B33" s="4">
        <v>5</v>
      </c>
      <c r="C33" s="4">
        <v>90</v>
      </c>
      <c r="D33" s="4">
        <v>25</v>
      </c>
      <c r="E33" s="3">
        <v>0.95670622393677118</v>
      </c>
    </row>
    <row r="34" spans="1:5" x14ac:dyDescent="0.25">
      <c r="A34" s="3">
        <v>0</v>
      </c>
      <c r="B34" s="4">
        <v>5</v>
      </c>
      <c r="C34" s="4">
        <v>90</v>
      </c>
      <c r="D34" s="4">
        <v>30</v>
      </c>
      <c r="E34" s="3">
        <v>0.38999999999999996</v>
      </c>
    </row>
    <row r="35" spans="1:5" x14ac:dyDescent="0.25">
      <c r="A35" s="3">
        <v>0</v>
      </c>
      <c r="B35" s="4">
        <v>0</v>
      </c>
      <c r="C35" s="4">
        <v>90</v>
      </c>
      <c r="D35" s="4">
        <v>17</v>
      </c>
      <c r="E35" s="3">
        <v>0.46271147609910651</v>
      </c>
    </row>
    <row r="36" spans="1:5" x14ac:dyDescent="0.25">
      <c r="A36" s="3">
        <v>0</v>
      </c>
      <c r="B36" s="4">
        <v>0</v>
      </c>
      <c r="C36" s="4">
        <v>90</v>
      </c>
      <c r="D36" s="4">
        <v>25</v>
      </c>
      <c r="E36" s="3">
        <v>0.68782096323282649</v>
      </c>
    </row>
    <row r="37" spans="1:5" x14ac:dyDescent="0.25">
      <c r="A37" s="3">
        <v>0</v>
      </c>
      <c r="B37" s="4">
        <v>0</v>
      </c>
      <c r="C37" s="4">
        <v>90</v>
      </c>
      <c r="D37" s="4">
        <v>30</v>
      </c>
      <c r="E37" s="3">
        <v>0.81170395305635457</v>
      </c>
    </row>
    <row r="38" spans="1:5" s="21" customFormat="1" x14ac:dyDescent="0.25">
      <c r="A38" s="19">
        <v>0</v>
      </c>
      <c r="B38" s="20">
        <v>50</v>
      </c>
      <c r="C38" s="20">
        <v>100</v>
      </c>
      <c r="D38" s="20">
        <v>17</v>
      </c>
      <c r="E38" s="19">
        <v>1.37664431372549</v>
      </c>
    </row>
    <row r="39" spans="1:5" s="21" customFormat="1" x14ac:dyDescent="0.25">
      <c r="A39" s="19">
        <v>0</v>
      </c>
      <c r="B39" s="20">
        <v>50</v>
      </c>
      <c r="C39" s="20">
        <v>100</v>
      </c>
      <c r="D39" s="20">
        <v>25</v>
      </c>
      <c r="E39" s="19">
        <v>1.454874117647059</v>
      </c>
    </row>
    <row r="40" spans="1:5" s="21" customFormat="1" x14ac:dyDescent="0.25">
      <c r="A40" s="19">
        <v>0</v>
      </c>
      <c r="B40" s="20">
        <v>50</v>
      </c>
      <c r="C40" s="20">
        <v>100</v>
      </c>
      <c r="D40" s="20">
        <v>30</v>
      </c>
      <c r="E40" s="19">
        <v>1.8084686274509805</v>
      </c>
    </row>
    <row r="41" spans="1:5" x14ac:dyDescent="0.25">
      <c r="A41" s="3">
        <v>0</v>
      </c>
      <c r="B41" s="4">
        <v>25</v>
      </c>
      <c r="C41" s="4">
        <v>100</v>
      </c>
      <c r="D41" s="4">
        <v>17</v>
      </c>
      <c r="E41" s="3">
        <v>1.9560976470588234</v>
      </c>
    </row>
    <row r="42" spans="1:5" x14ac:dyDescent="0.25">
      <c r="A42" s="3">
        <v>0</v>
      </c>
      <c r="B42" s="4">
        <v>25</v>
      </c>
      <c r="C42" s="4">
        <v>100</v>
      </c>
      <c r="D42" s="4">
        <v>25</v>
      </c>
      <c r="E42" s="3">
        <v>2.1527568627450977</v>
      </c>
    </row>
    <row r="43" spans="1:5" x14ac:dyDescent="0.25">
      <c r="A43" s="3">
        <v>0</v>
      </c>
      <c r="B43" s="4">
        <v>25</v>
      </c>
      <c r="C43" s="4">
        <v>100</v>
      </c>
      <c r="D43" s="4">
        <v>30</v>
      </c>
      <c r="E43" s="3">
        <v>1.1237623529411762</v>
      </c>
    </row>
    <row r="44" spans="1:5" x14ac:dyDescent="0.25">
      <c r="A44" s="3">
        <v>0</v>
      </c>
      <c r="B44" s="4">
        <v>15</v>
      </c>
      <c r="C44" s="4">
        <v>100</v>
      </c>
      <c r="D44" s="4">
        <v>17</v>
      </c>
      <c r="E44" s="3">
        <v>0.87850705882352953</v>
      </c>
    </row>
    <row r="45" spans="1:5" x14ac:dyDescent="0.25">
      <c r="A45" s="3">
        <v>0</v>
      </c>
      <c r="B45" s="4">
        <v>15</v>
      </c>
      <c r="C45" s="4">
        <v>100</v>
      </c>
      <c r="D45" s="4">
        <v>25</v>
      </c>
      <c r="E45" s="3">
        <v>1.2598113725490201</v>
      </c>
    </row>
    <row r="46" spans="1:5" x14ac:dyDescent="0.25">
      <c r="A46" s="3">
        <v>0</v>
      </c>
      <c r="B46" s="4">
        <v>15</v>
      </c>
      <c r="C46" s="4">
        <v>100</v>
      </c>
      <c r="D46" s="4">
        <v>30</v>
      </c>
      <c r="E46" s="3">
        <v>1.5670603921568631</v>
      </c>
    </row>
    <row r="47" spans="1:5" x14ac:dyDescent="0.25">
      <c r="A47" s="3">
        <v>0</v>
      </c>
      <c r="B47" s="4">
        <v>10</v>
      </c>
      <c r="C47" s="4">
        <v>100</v>
      </c>
      <c r="D47" s="4">
        <v>17</v>
      </c>
      <c r="E47" s="3">
        <v>1.5853964705882353</v>
      </c>
    </row>
    <row r="48" spans="1:5" x14ac:dyDescent="0.25">
      <c r="A48" s="3">
        <v>0</v>
      </c>
      <c r="B48" s="4">
        <v>10</v>
      </c>
      <c r="C48" s="4">
        <v>100</v>
      </c>
      <c r="D48" s="4">
        <v>25</v>
      </c>
      <c r="E48" s="3">
        <v>1.6707533333333333</v>
      </c>
    </row>
    <row r="49" spans="1:5" x14ac:dyDescent="0.25">
      <c r="A49" s="3">
        <v>0</v>
      </c>
      <c r="B49" s="4">
        <v>10</v>
      </c>
      <c r="C49" s="4">
        <v>100</v>
      </c>
      <c r="D49" s="4">
        <v>30</v>
      </c>
      <c r="E49" s="3">
        <v>1.5674870588235295</v>
      </c>
    </row>
    <row r="50" spans="1:5" x14ac:dyDescent="0.25">
      <c r="A50" s="3">
        <v>0</v>
      </c>
      <c r="B50" s="4">
        <v>5</v>
      </c>
      <c r="C50" s="4">
        <v>100</v>
      </c>
      <c r="D50" s="4">
        <v>17</v>
      </c>
      <c r="E50" s="3">
        <v>1.0321101960784314</v>
      </c>
    </row>
    <row r="51" spans="1:5" x14ac:dyDescent="0.25">
      <c r="A51" s="3">
        <v>0</v>
      </c>
      <c r="B51" s="4">
        <v>5</v>
      </c>
      <c r="C51" s="4">
        <v>100</v>
      </c>
      <c r="D51" s="4">
        <v>25</v>
      </c>
      <c r="E51" s="3">
        <v>0.72920901960784335</v>
      </c>
    </row>
    <row r="52" spans="1:5" x14ac:dyDescent="0.25">
      <c r="A52" s="3">
        <v>0</v>
      </c>
      <c r="B52" s="4">
        <v>5</v>
      </c>
      <c r="C52" s="4">
        <v>100</v>
      </c>
      <c r="D52" s="4">
        <v>30</v>
      </c>
      <c r="E52" s="3">
        <v>1.1636823529411764</v>
      </c>
    </row>
    <row r="53" spans="1:5" x14ac:dyDescent="0.25">
      <c r="A53" s="3">
        <v>0</v>
      </c>
      <c r="B53" s="4">
        <v>0</v>
      </c>
      <c r="C53" s="4">
        <v>100</v>
      </c>
      <c r="D53" s="4">
        <v>17</v>
      </c>
      <c r="E53" s="3">
        <v>0.39443529411764711</v>
      </c>
    </row>
    <row r="54" spans="1:5" x14ac:dyDescent="0.25">
      <c r="A54" s="3">
        <v>0</v>
      </c>
      <c r="B54" s="4">
        <v>0</v>
      </c>
      <c r="C54" s="4">
        <v>100</v>
      </c>
      <c r="D54" s="4">
        <v>25</v>
      </c>
      <c r="E54" s="3">
        <v>1.0479168627450985</v>
      </c>
    </row>
    <row r="55" spans="1:5" x14ac:dyDescent="0.25">
      <c r="A55" s="3">
        <v>0</v>
      </c>
      <c r="B55" s="4">
        <v>0</v>
      </c>
      <c r="C55" s="4">
        <v>100</v>
      </c>
      <c r="D55" s="4">
        <v>30</v>
      </c>
      <c r="E55" s="3">
        <v>1.0055054901960785</v>
      </c>
    </row>
    <row r="56" spans="1:5" x14ac:dyDescent="0.25">
      <c r="A56" s="3">
        <v>0</v>
      </c>
      <c r="B56" s="4">
        <v>50</v>
      </c>
      <c r="C56" s="4">
        <v>90</v>
      </c>
      <c r="D56" s="4">
        <v>17</v>
      </c>
      <c r="E56" s="3">
        <v>1.8146843137254902</v>
      </c>
    </row>
    <row r="57" spans="1:5" x14ac:dyDescent="0.25">
      <c r="A57" s="3">
        <v>0</v>
      </c>
      <c r="B57" s="4">
        <v>50</v>
      </c>
      <c r="C57" s="4">
        <v>90</v>
      </c>
      <c r="D57" s="4">
        <v>25</v>
      </c>
      <c r="E57" s="3">
        <v>0.96855607843137281</v>
      </c>
    </row>
    <row r="58" spans="1:5" x14ac:dyDescent="0.25">
      <c r="A58" s="3">
        <v>0</v>
      </c>
      <c r="B58" s="4">
        <v>50</v>
      </c>
      <c r="C58" s="4">
        <v>90</v>
      </c>
      <c r="D58" s="4">
        <v>30</v>
      </c>
      <c r="E58" s="3">
        <v>1.1021850980392156</v>
      </c>
    </row>
    <row r="59" spans="1:5" x14ac:dyDescent="0.25">
      <c r="A59" s="3">
        <v>0</v>
      </c>
      <c r="B59" s="4">
        <v>25</v>
      </c>
      <c r="C59" s="4">
        <v>90</v>
      </c>
      <c r="D59" s="4">
        <v>17</v>
      </c>
      <c r="E59" s="3">
        <v>1.7337317647058827</v>
      </c>
    </row>
    <row r="60" spans="1:5" x14ac:dyDescent="0.25">
      <c r="A60" s="3">
        <v>0</v>
      </c>
      <c r="B60" s="4">
        <v>25</v>
      </c>
      <c r="C60" s="4">
        <v>90</v>
      </c>
      <c r="D60" s="4">
        <v>25</v>
      </c>
      <c r="E60" s="3">
        <v>0.9881231372549022</v>
      </c>
    </row>
    <row r="61" spans="1:5" x14ac:dyDescent="0.25">
      <c r="A61" s="3">
        <v>0</v>
      </c>
      <c r="B61" s="4">
        <v>25</v>
      </c>
      <c r="C61" s="4">
        <v>90</v>
      </c>
      <c r="D61" s="4">
        <v>30</v>
      </c>
      <c r="E61" s="3">
        <v>1.0779007843137256</v>
      </c>
    </row>
    <row r="62" spans="1:5" x14ac:dyDescent="0.25">
      <c r="A62" s="3">
        <v>0</v>
      </c>
      <c r="B62" s="4">
        <v>15</v>
      </c>
      <c r="C62" s="4">
        <v>90</v>
      </c>
      <c r="D62" s="4">
        <v>17</v>
      </c>
      <c r="E62" s="3">
        <v>1.0471564705882355</v>
      </c>
    </row>
    <row r="63" spans="1:5" x14ac:dyDescent="0.25">
      <c r="A63" s="3">
        <v>0</v>
      </c>
      <c r="B63" s="4">
        <v>15</v>
      </c>
      <c r="C63" s="4">
        <v>90</v>
      </c>
      <c r="D63" s="4">
        <v>25</v>
      </c>
      <c r="E63" s="3">
        <v>0.79278941176470608</v>
      </c>
    </row>
    <row r="64" spans="1:5" x14ac:dyDescent="0.25">
      <c r="A64" s="3">
        <v>0</v>
      </c>
      <c r="B64" s="4">
        <v>15</v>
      </c>
      <c r="C64" s="4">
        <v>90</v>
      </c>
      <c r="D64" s="4">
        <v>30</v>
      </c>
      <c r="E64" s="3">
        <v>1.0168980392156866</v>
      </c>
    </row>
    <row r="65" spans="1:7" x14ac:dyDescent="0.25">
      <c r="A65" s="3">
        <v>0</v>
      </c>
      <c r="B65" s="4">
        <v>10</v>
      </c>
      <c r="C65" s="4">
        <v>90</v>
      </c>
      <c r="D65" s="4">
        <v>17</v>
      </c>
      <c r="E65" s="3">
        <v>1.1990423529411764</v>
      </c>
    </row>
    <row r="66" spans="1:7" x14ac:dyDescent="0.25">
      <c r="A66" s="3">
        <v>0</v>
      </c>
      <c r="B66" s="4">
        <v>10</v>
      </c>
      <c r="C66" s="4">
        <v>90</v>
      </c>
      <c r="D66" s="4">
        <v>25</v>
      </c>
      <c r="E66" s="3">
        <v>0.72715176470588272</v>
      </c>
    </row>
    <row r="67" spans="1:7" x14ac:dyDescent="0.25">
      <c r="A67" s="3">
        <v>0</v>
      </c>
      <c r="B67" s="4">
        <v>10</v>
      </c>
      <c r="C67" s="4">
        <v>90</v>
      </c>
      <c r="D67" s="4">
        <v>30</v>
      </c>
      <c r="E67" s="3">
        <v>0.94613176470588223</v>
      </c>
    </row>
    <row r="68" spans="1:7" x14ac:dyDescent="0.25">
      <c r="A68" s="3">
        <v>0</v>
      </c>
      <c r="B68" s="4">
        <v>5</v>
      </c>
      <c r="C68" s="4">
        <v>90</v>
      </c>
      <c r="D68" s="4">
        <v>17</v>
      </c>
      <c r="E68" s="3">
        <v>0.71576313725490193</v>
      </c>
    </row>
    <row r="69" spans="1:7" x14ac:dyDescent="0.25">
      <c r="A69" s="3">
        <v>0</v>
      </c>
      <c r="B69" s="4">
        <v>5</v>
      </c>
      <c r="C69" s="4">
        <v>90</v>
      </c>
      <c r="D69" s="4">
        <v>25</v>
      </c>
      <c r="E69" s="3">
        <v>0.75664431372549035</v>
      </c>
    </row>
    <row r="70" spans="1:7" x14ac:dyDescent="0.25">
      <c r="A70" s="3">
        <v>0</v>
      </c>
      <c r="B70" s="4">
        <v>5</v>
      </c>
      <c r="C70" s="4">
        <v>90</v>
      </c>
      <c r="D70" s="4">
        <v>30</v>
      </c>
      <c r="E70" s="3">
        <v>0.54330274509803911</v>
      </c>
    </row>
    <row r="71" spans="1:7" x14ac:dyDescent="0.25">
      <c r="A71" s="3">
        <v>0</v>
      </c>
      <c r="B71" s="4">
        <v>0</v>
      </c>
      <c r="C71" s="4">
        <v>90</v>
      </c>
      <c r="D71" s="4">
        <v>17</v>
      </c>
      <c r="E71" s="3">
        <v>0.71400392156862746</v>
      </c>
    </row>
    <row r="72" spans="1:7" x14ac:dyDescent="0.25">
      <c r="A72" s="3">
        <v>0</v>
      </c>
      <c r="B72" s="4">
        <v>0</v>
      </c>
      <c r="C72" s="4">
        <v>90</v>
      </c>
      <c r="D72" s="4">
        <v>25</v>
      </c>
      <c r="E72" s="3">
        <v>0.75523725490196081</v>
      </c>
    </row>
    <row r="73" spans="1:7" x14ac:dyDescent="0.25">
      <c r="A73" s="3">
        <v>0</v>
      </c>
      <c r="B73" s="4">
        <v>0</v>
      </c>
      <c r="C73" s="4">
        <v>90</v>
      </c>
      <c r="D73" s="4">
        <v>30</v>
      </c>
      <c r="E73" s="3">
        <v>1.3262458823529415</v>
      </c>
      <c r="F73" s="21" t="s">
        <v>101</v>
      </c>
      <c r="G73" t="s">
        <v>103</v>
      </c>
    </row>
    <row r="74" spans="1:7" x14ac:dyDescent="0.25">
      <c r="A74" s="3">
        <v>1</v>
      </c>
      <c r="B74" s="4">
        <v>50</v>
      </c>
      <c r="C74" s="4">
        <v>100</v>
      </c>
      <c r="D74" s="4">
        <v>17</v>
      </c>
      <c r="E74" s="3">
        <v>5.1725007142707256</v>
      </c>
    </row>
    <row r="75" spans="1:7" x14ac:dyDescent="0.25">
      <c r="A75" s="3">
        <v>1</v>
      </c>
      <c r="B75" s="4">
        <v>50</v>
      </c>
      <c r="C75" s="4">
        <v>100</v>
      </c>
      <c r="D75" s="4">
        <v>25</v>
      </c>
      <c r="E75" s="3">
        <v>4.2788423442797932</v>
      </c>
    </row>
    <row r="76" spans="1:7" x14ac:dyDescent="0.25">
      <c r="A76" s="3">
        <v>1</v>
      </c>
      <c r="B76" s="4">
        <v>50</v>
      </c>
      <c r="C76" s="4">
        <v>100</v>
      </c>
      <c r="D76" s="4">
        <v>30</v>
      </c>
      <c r="E76" s="3">
        <v>2.0099999999999998</v>
      </c>
    </row>
    <row r="77" spans="1:7" x14ac:dyDescent="0.25">
      <c r="A77" s="3">
        <v>1</v>
      </c>
      <c r="B77" s="4">
        <v>25</v>
      </c>
      <c r="C77" s="4">
        <v>100</v>
      </c>
      <c r="D77" s="4">
        <v>17</v>
      </c>
      <c r="E77" s="3">
        <v>2.6876330825022783</v>
      </c>
    </row>
    <row r="78" spans="1:7" x14ac:dyDescent="0.25">
      <c r="A78" s="3">
        <v>1</v>
      </c>
      <c r="B78" s="4">
        <v>25</v>
      </c>
      <c r="C78" s="4">
        <v>100</v>
      </c>
      <c r="D78" s="4">
        <v>25</v>
      </c>
      <c r="E78" s="3">
        <v>2.794549787250407</v>
      </c>
    </row>
    <row r="79" spans="1:7" x14ac:dyDescent="0.25">
      <c r="A79" s="3">
        <v>1</v>
      </c>
      <c r="B79" s="4">
        <v>25</v>
      </c>
      <c r="C79" s="4">
        <v>100</v>
      </c>
      <c r="D79" s="4">
        <v>30</v>
      </c>
      <c r="E79" s="3">
        <v>4.4584303474753888</v>
      </c>
    </row>
    <row r="80" spans="1:7" x14ac:dyDescent="0.25">
      <c r="A80" s="3">
        <v>1</v>
      </c>
      <c r="B80" s="4">
        <v>15</v>
      </c>
      <c r="C80" s="4">
        <v>100</v>
      </c>
      <c r="D80" s="4">
        <v>17</v>
      </c>
      <c r="E80" s="3">
        <v>2.032961166276261</v>
      </c>
    </row>
    <row r="81" spans="1:5" x14ac:dyDescent="0.25">
      <c r="A81" s="3">
        <v>1</v>
      </c>
      <c r="B81" s="4">
        <v>15</v>
      </c>
      <c r="C81" s="4">
        <v>100</v>
      </c>
      <c r="D81" s="4">
        <v>25</v>
      </c>
      <c r="E81" s="3">
        <v>2.7982783833427947</v>
      </c>
    </row>
    <row r="82" spans="1:5" x14ac:dyDescent="0.25">
      <c r="A82" s="3">
        <v>1</v>
      </c>
      <c r="B82" s="4">
        <v>15</v>
      </c>
      <c r="C82" s="4">
        <v>100</v>
      </c>
      <c r="D82" s="4">
        <v>30</v>
      </c>
      <c r="E82" s="3">
        <v>0.38553095171564489</v>
      </c>
    </row>
    <row r="83" spans="1:5" x14ac:dyDescent="0.25">
      <c r="A83" s="3">
        <v>1</v>
      </c>
      <c r="B83" s="4">
        <v>10</v>
      </c>
      <c r="C83" s="4">
        <v>100</v>
      </c>
      <c r="D83" s="4">
        <v>17</v>
      </c>
      <c r="E83" s="3">
        <v>1.5639334809138501</v>
      </c>
    </row>
    <row r="84" spans="1:5" x14ac:dyDescent="0.25">
      <c r="A84" s="3">
        <v>1</v>
      </c>
      <c r="B84" s="4">
        <v>10</v>
      </c>
      <c r="C84" s="4">
        <v>100</v>
      </c>
      <c r="D84" s="4">
        <v>25</v>
      </c>
      <c r="E84" s="3">
        <v>1.4389694688292203</v>
      </c>
    </row>
    <row r="85" spans="1:5" x14ac:dyDescent="0.25">
      <c r="A85" s="3">
        <v>1</v>
      </c>
      <c r="B85" s="4">
        <v>10</v>
      </c>
      <c r="C85" s="4">
        <v>100</v>
      </c>
      <c r="D85" s="4">
        <v>30</v>
      </c>
      <c r="E85" s="3">
        <v>2.1120523713948667</v>
      </c>
    </row>
    <row r="86" spans="1:5" x14ac:dyDescent="0.25">
      <c r="A86" s="3">
        <v>1</v>
      </c>
      <c r="B86" s="4">
        <v>5</v>
      </c>
      <c r="C86" s="4">
        <v>100</v>
      </c>
      <c r="D86" s="4">
        <v>17</v>
      </c>
      <c r="E86" s="3">
        <v>1.2279337346440462</v>
      </c>
    </row>
    <row r="87" spans="1:5" x14ac:dyDescent="0.25">
      <c r="A87" s="3">
        <v>1</v>
      </c>
      <c r="B87" s="4">
        <v>5</v>
      </c>
      <c r="C87" s="4">
        <v>100</v>
      </c>
      <c r="D87" s="4">
        <v>25</v>
      </c>
      <c r="E87" s="3">
        <v>1.4657816936992778</v>
      </c>
    </row>
    <row r="88" spans="1:5" x14ac:dyDescent="0.25">
      <c r="A88" s="3">
        <v>1</v>
      </c>
      <c r="B88" s="4">
        <v>5</v>
      </c>
      <c r="C88" s="4">
        <v>100</v>
      </c>
      <c r="D88" s="4">
        <v>30</v>
      </c>
      <c r="E88" s="3">
        <v>2.2571347820870762</v>
      </c>
    </row>
    <row r="89" spans="1:5" x14ac:dyDescent="0.25">
      <c r="A89" s="3">
        <v>1</v>
      </c>
      <c r="B89" s="4">
        <v>0</v>
      </c>
      <c r="C89" s="4">
        <v>100</v>
      </c>
      <c r="D89" s="4">
        <v>17</v>
      </c>
      <c r="E89" s="3">
        <v>0.32666666666666666</v>
      </c>
    </row>
    <row r="90" spans="1:5" x14ac:dyDescent="0.25">
      <c r="A90" s="3">
        <v>1</v>
      </c>
      <c r="B90" s="4">
        <v>0</v>
      </c>
      <c r="C90" s="4">
        <v>100</v>
      </c>
      <c r="D90" s="4">
        <v>25</v>
      </c>
      <c r="E90" s="3">
        <v>0.75369974458053068</v>
      </c>
    </row>
    <row r="91" spans="1:5" x14ac:dyDescent="0.25">
      <c r="A91" s="3">
        <v>1</v>
      </c>
      <c r="B91" s="4">
        <v>0</v>
      </c>
      <c r="C91" s="4">
        <v>100</v>
      </c>
      <c r="D91" s="4">
        <v>30</v>
      </c>
      <c r="E91" s="3">
        <v>1.2279996347553253</v>
      </c>
    </row>
    <row r="92" spans="1:5" x14ac:dyDescent="0.25">
      <c r="A92" s="3">
        <v>1</v>
      </c>
      <c r="B92" s="4">
        <v>50</v>
      </c>
      <c r="C92" s="4">
        <v>90</v>
      </c>
      <c r="D92" s="4">
        <v>17</v>
      </c>
      <c r="E92" s="3">
        <v>3.6025013825982359</v>
      </c>
    </row>
    <row r="93" spans="1:5" x14ac:dyDescent="0.25">
      <c r="A93" s="3">
        <v>1</v>
      </c>
      <c r="B93" s="4">
        <v>50</v>
      </c>
      <c r="C93" s="4">
        <v>90</v>
      </c>
      <c r="D93" s="4">
        <v>25</v>
      </c>
      <c r="E93" s="3">
        <v>4.9009476548122555</v>
      </c>
    </row>
    <row r="94" spans="1:5" x14ac:dyDescent="0.25">
      <c r="A94" s="3">
        <v>1</v>
      </c>
      <c r="B94" s="4">
        <v>50</v>
      </c>
      <c r="C94" s="4">
        <v>90</v>
      </c>
      <c r="D94" s="4">
        <v>30</v>
      </c>
      <c r="E94" s="3">
        <v>2.195597024481541</v>
      </c>
    </row>
    <row r="95" spans="1:5" x14ac:dyDescent="0.25">
      <c r="A95" s="3">
        <v>1</v>
      </c>
      <c r="B95" s="4">
        <v>25</v>
      </c>
      <c r="C95" s="4">
        <v>90</v>
      </c>
      <c r="D95" s="4">
        <v>17</v>
      </c>
      <c r="E95" s="3">
        <v>3.7278404093695952</v>
      </c>
    </row>
    <row r="96" spans="1:5" x14ac:dyDescent="0.25">
      <c r="A96" s="3">
        <v>1</v>
      </c>
      <c r="B96" s="4">
        <v>25</v>
      </c>
      <c r="C96" s="4">
        <v>90</v>
      </c>
      <c r="D96" s="4">
        <v>25</v>
      </c>
      <c r="E96" s="3">
        <v>2.92</v>
      </c>
    </row>
    <row r="97" spans="1:5" x14ac:dyDescent="0.25">
      <c r="A97" s="3">
        <v>1</v>
      </c>
      <c r="B97" s="4">
        <v>25</v>
      </c>
      <c r="C97" s="4">
        <v>90</v>
      </c>
      <c r="D97" s="4">
        <v>30</v>
      </c>
      <c r="E97" s="3">
        <v>4.9117982134811022</v>
      </c>
    </row>
    <row r="98" spans="1:5" x14ac:dyDescent="0.25">
      <c r="A98" s="3">
        <v>1</v>
      </c>
      <c r="B98" s="4">
        <v>15</v>
      </c>
      <c r="C98" s="4">
        <v>90</v>
      </c>
      <c r="D98" s="4">
        <v>17</v>
      </c>
      <c r="E98" s="3">
        <v>2.3278876651515539</v>
      </c>
    </row>
    <row r="99" spans="1:5" x14ac:dyDescent="0.25">
      <c r="A99" s="3">
        <v>1</v>
      </c>
      <c r="B99" s="4">
        <v>15</v>
      </c>
      <c r="C99" s="4">
        <v>90</v>
      </c>
      <c r="D99" s="4">
        <v>25</v>
      </c>
      <c r="E99" s="3">
        <v>2.7217651362895312</v>
      </c>
    </row>
    <row r="100" spans="1:5" x14ac:dyDescent="0.25">
      <c r="A100" s="3">
        <v>1</v>
      </c>
      <c r="B100" s="4">
        <v>15</v>
      </c>
      <c r="C100" s="4">
        <v>90</v>
      </c>
      <c r="D100" s="4">
        <v>30</v>
      </c>
      <c r="E100" s="3">
        <v>4.9687701847277737</v>
      </c>
    </row>
    <row r="101" spans="1:5" x14ac:dyDescent="0.25">
      <c r="A101" s="3">
        <v>1</v>
      </c>
      <c r="B101" s="4">
        <v>10</v>
      </c>
      <c r="C101" s="4">
        <v>90</v>
      </c>
      <c r="D101" s="4">
        <v>17</v>
      </c>
      <c r="E101" s="3">
        <v>1.6049895840234658</v>
      </c>
    </row>
    <row r="102" spans="1:5" x14ac:dyDescent="0.25">
      <c r="A102" s="3">
        <v>1</v>
      </c>
      <c r="B102" s="4">
        <v>10</v>
      </c>
      <c r="C102" s="4">
        <v>90</v>
      </c>
      <c r="D102" s="4">
        <v>25</v>
      </c>
      <c r="E102" s="3">
        <v>1.7546266569941857</v>
      </c>
    </row>
    <row r="103" spans="1:5" x14ac:dyDescent="0.25">
      <c r="A103" s="3">
        <v>1</v>
      </c>
      <c r="B103" s="4">
        <v>10</v>
      </c>
      <c r="C103" s="4">
        <v>90</v>
      </c>
      <c r="D103" s="4">
        <v>30</v>
      </c>
      <c r="E103" s="3">
        <v>2.7026086391863542</v>
      </c>
    </row>
    <row r="104" spans="1:5" x14ac:dyDescent="0.25">
      <c r="A104" s="3">
        <v>1</v>
      </c>
      <c r="B104" s="4">
        <v>5</v>
      </c>
      <c r="C104" s="4">
        <v>90</v>
      </c>
      <c r="D104" s="4">
        <v>17</v>
      </c>
      <c r="E104" s="3">
        <v>0.84333333333333327</v>
      </c>
    </row>
    <row r="105" spans="1:5" x14ac:dyDescent="0.25">
      <c r="A105" s="3">
        <v>1</v>
      </c>
      <c r="B105" s="4">
        <v>5</v>
      </c>
      <c r="C105" s="4">
        <v>90</v>
      </c>
      <c r="D105" s="4">
        <v>25</v>
      </c>
      <c r="E105" s="3">
        <v>1.1799788544038134</v>
      </c>
    </row>
    <row r="106" spans="1:5" x14ac:dyDescent="0.25">
      <c r="A106" s="3">
        <v>1</v>
      </c>
      <c r="B106" s="4">
        <v>5</v>
      </c>
      <c r="C106" s="4">
        <v>90</v>
      </c>
      <c r="D106" s="4">
        <v>30</v>
      </c>
      <c r="E106" s="3">
        <v>3.596628616138918</v>
      </c>
    </row>
    <row r="107" spans="1:5" x14ac:dyDescent="0.25">
      <c r="A107" s="3">
        <v>1</v>
      </c>
      <c r="B107" s="4">
        <v>0</v>
      </c>
      <c r="C107" s="4">
        <v>90</v>
      </c>
      <c r="D107" s="4">
        <v>17</v>
      </c>
      <c r="E107" s="3">
        <v>0.66</v>
      </c>
    </row>
    <row r="108" spans="1:5" x14ac:dyDescent="0.25">
      <c r="A108" s="3">
        <v>1</v>
      </c>
      <c r="B108" s="4">
        <v>0</v>
      </c>
      <c r="C108" s="4">
        <v>90</v>
      </c>
      <c r="D108" s="4">
        <v>25</v>
      </c>
      <c r="E108" s="3">
        <v>1.0502133880466871</v>
      </c>
    </row>
    <row r="109" spans="1:5" x14ac:dyDescent="0.25">
      <c r="A109" s="3">
        <v>1</v>
      </c>
      <c r="B109" s="4">
        <v>0</v>
      </c>
      <c r="C109" s="4">
        <v>90</v>
      </c>
      <c r="D109" s="4">
        <v>30</v>
      </c>
      <c r="E109" s="3">
        <v>2.0128023604726462</v>
      </c>
    </row>
    <row r="110" spans="1:5" x14ac:dyDescent="0.25">
      <c r="A110" s="3">
        <v>1</v>
      </c>
      <c r="B110" s="4">
        <v>50</v>
      </c>
      <c r="C110" s="4">
        <v>100</v>
      </c>
      <c r="D110" s="4">
        <v>17</v>
      </c>
      <c r="E110" s="3">
        <v>2.3402584313725487</v>
      </c>
    </row>
    <row r="111" spans="1:5" x14ac:dyDescent="0.25">
      <c r="A111" s="3">
        <v>1</v>
      </c>
      <c r="B111" s="4">
        <v>50</v>
      </c>
      <c r="C111" s="4">
        <v>100</v>
      </c>
      <c r="D111" s="4">
        <v>25</v>
      </c>
      <c r="E111" s="3">
        <v>3.5613964705882357</v>
      </c>
    </row>
    <row r="112" spans="1:5" x14ac:dyDescent="0.25">
      <c r="A112" s="3">
        <v>1</v>
      </c>
      <c r="B112" s="4">
        <v>50</v>
      </c>
      <c r="C112" s="4">
        <v>100</v>
      </c>
      <c r="D112" s="4">
        <v>30</v>
      </c>
      <c r="E112" s="3">
        <v>2.3598615686274504</v>
      </c>
    </row>
    <row r="113" spans="1:5" x14ac:dyDescent="0.25">
      <c r="A113" s="3">
        <v>1</v>
      </c>
      <c r="B113" s="4">
        <v>25</v>
      </c>
      <c r="C113" s="4">
        <v>100</v>
      </c>
      <c r="D113" s="4">
        <v>17</v>
      </c>
      <c r="E113" s="3">
        <v>1.4575047058823529</v>
      </c>
    </row>
    <row r="114" spans="1:5" x14ac:dyDescent="0.25">
      <c r="A114" s="3">
        <v>1</v>
      </c>
      <c r="B114" s="4">
        <v>25</v>
      </c>
      <c r="C114" s="4">
        <v>100</v>
      </c>
      <c r="D114" s="4">
        <v>25</v>
      </c>
      <c r="E114" s="3">
        <v>2.5696043137254905</v>
      </c>
    </row>
    <row r="115" spans="1:5" x14ac:dyDescent="0.25">
      <c r="A115" s="3">
        <v>1</v>
      </c>
      <c r="B115" s="4">
        <v>25</v>
      </c>
      <c r="C115" s="4">
        <v>100</v>
      </c>
      <c r="D115" s="4">
        <v>30</v>
      </c>
      <c r="E115" s="3">
        <v>1.5604098039215684</v>
      </c>
    </row>
    <row r="116" spans="1:5" x14ac:dyDescent="0.25">
      <c r="A116" s="3">
        <v>1</v>
      </c>
      <c r="B116" s="4">
        <v>15</v>
      </c>
      <c r="C116" s="4">
        <v>100</v>
      </c>
      <c r="D116" s="4">
        <v>17</v>
      </c>
      <c r="E116" s="3">
        <v>1.7206670588235298</v>
      </c>
    </row>
    <row r="117" spans="1:5" x14ac:dyDescent="0.25">
      <c r="A117" s="3">
        <v>1</v>
      </c>
      <c r="B117" s="4">
        <v>15</v>
      </c>
      <c r="C117" s="4">
        <v>100</v>
      </c>
      <c r="D117" s="4">
        <v>25</v>
      </c>
      <c r="E117" s="3">
        <v>1.608923137254902</v>
      </c>
    </row>
    <row r="118" spans="1:5" x14ac:dyDescent="0.25">
      <c r="A118" s="3">
        <v>1</v>
      </c>
      <c r="B118" s="4">
        <v>15</v>
      </c>
      <c r="C118" s="4">
        <v>100</v>
      </c>
      <c r="D118" s="4">
        <v>30</v>
      </c>
      <c r="E118" s="3">
        <v>0.68491098039215703</v>
      </c>
    </row>
    <row r="119" spans="1:5" x14ac:dyDescent="0.25">
      <c r="A119" s="3">
        <v>1</v>
      </c>
      <c r="B119" s="4">
        <v>10</v>
      </c>
      <c r="C119" s="4">
        <v>100</v>
      </c>
      <c r="D119" s="4">
        <v>17</v>
      </c>
      <c r="E119" s="3">
        <v>1.4876627450980391</v>
      </c>
    </row>
    <row r="120" spans="1:5" x14ac:dyDescent="0.25">
      <c r="A120" s="3">
        <v>1</v>
      </c>
      <c r="B120" s="4">
        <v>10</v>
      </c>
      <c r="C120" s="4">
        <v>100</v>
      </c>
      <c r="D120" s="4">
        <v>25</v>
      </c>
      <c r="E120" s="3">
        <v>1.5966733333333334</v>
      </c>
    </row>
    <row r="121" spans="1:5" x14ac:dyDescent="0.25">
      <c r="A121" s="3">
        <v>1</v>
      </c>
      <c r="B121" s="4">
        <v>10</v>
      </c>
      <c r="C121" s="4">
        <v>100</v>
      </c>
      <c r="D121" s="4">
        <v>30</v>
      </c>
      <c r="E121" s="3">
        <v>2.3506623529411765</v>
      </c>
    </row>
    <row r="122" spans="1:5" x14ac:dyDescent="0.25">
      <c r="A122" s="3">
        <v>1</v>
      </c>
      <c r="B122" s="4">
        <v>5</v>
      </c>
      <c r="C122" s="4">
        <v>100</v>
      </c>
      <c r="D122" s="4">
        <v>17</v>
      </c>
      <c r="E122" s="3">
        <v>1.276114117647059</v>
      </c>
    </row>
    <row r="123" spans="1:5" x14ac:dyDescent="0.25">
      <c r="A123" s="3">
        <v>1</v>
      </c>
      <c r="B123" s="4">
        <v>5</v>
      </c>
      <c r="C123" s="4">
        <v>100</v>
      </c>
      <c r="D123" s="4">
        <v>25</v>
      </c>
      <c r="E123" s="3">
        <v>1.1480168627450977</v>
      </c>
    </row>
    <row r="124" spans="1:5" x14ac:dyDescent="0.25">
      <c r="A124" s="3">
        <v>1</v>
      </c>
      <c r="B124" s="4">
        <v>5</v>
      </c>
      <c r="C124" s="4">
        <v>100</v>
      </c>
      <c r="D124" s="4">
        <v>30</v>
      </c>
      <c r="E124" s="3">
        <v>1.6359431372549011</v>
      </c>
    </row>
    <row r="125" spans="1:5" x14ac:dyDescent="0.25">
      <c r="A125" s="3">
        <v>1</v>
      </c>
      <c r="B125" s="4">
        <v>0</v>
      </c>
      <c r="C125" s="4">
        <v>100</v>
      </c>
      <c r="D125" s="4">
        <v>17</v>
      </c>
      <c r="E125" s="3">
        <v>0.73843450980392178</v>
      </c>
    </row>
    <row r="126" spans="1:5" x14ac:dyDescent="0.25">
      <c r="A126" s="3">
        <v>1</v>
      </c>
      <c r="B126" s="4">
        <v>0</v>
      </c>
      <c r="C126" s="4">
        <v>100</v>
      </c>
      <c r="D126" s="4">
        <v>25</v>
      </c>
      <c r="E126" s="3">
        <v>0.50666901960784305</v>
      </c>
    </row>
    <row r="127" spans="1:5" x14ac:dyDescent="0.25">
      <c r="A127" s="3">
        <v>1</v>
      </c>
      <c r="B127" s="4">
        <v>0</v>
      </c>
      <c r="C127" s="4">
        <v>100</v>
      </c>
      <c r="D127" s="4">
        <v>30</v>
      </c>
      <c r="E127" s="3">
        <v>1.0637537254901959</v>
      </c>
    </row>
    <row r="128" spans="1:5" x14ac:dyDescent="0.25">
      <c r="A128" s="3">
        <v>1</v>
      </c>
      <c r="B128" s="4">
        <v>50</v>
      </c>
      <c r="C128" s="4">
        <v>90</v>
      </c>
      <c r="D128" s="4">
        <v>17</v>
      </c>
      <c r="E128" s="3">
        <v>1.6533098039215686</v>
      </c>
    </row>
    <row r="129" spans="1:5" x14ac:dyDescent="0.25">
      <c r="A129" s="3">
        <v>1</v>
      </c>
      <c r="B129" s="4">
        <v>50</v>
      </c>
      <c r="C129" s="4">
        <v>90</v>
      </c>
      <c r="D129" s="4">
        <v>25</v>
      </c>
      <c r="E129" s="3">
        <v>2.2491317647058819</v>
      </c>
    </row>
    <row r="130" spans="1:5" x14ac:dyDescent="0.25">
      <c r="A130" s="3">
        <v>1</v>
      </c>
      <c r="B130" s="4">
        <v>50</v>
      </c>
      <c r="C130" s="4">
        <v>90</v>
      </c>
      <c r="D130" s="4">
        <v>30</v>
      </c>
      <c r="E130" s="3">
        <v>3.4918192156862737</v>
      </c>
    </row>
    <row r="131" spans="1:5" x14ac:dyDescent="0.25">
      <c r="A131" s="3">
        <v>1</v>
      </c>
      <c r="B131" s="4">
        <v>25</v>
      </c>
      <c r="C131" s="4">
        <v>90</v>
      </c>
      <c r="D131" s="4">
        <v>17</v>
      </c>
      <c r="E131" s="3">
        <v>2.4148525490196073</v>
      </c>
    </row>
    <row r="132" spans="1:5" x14ac:dyDescent="0.25">
      <c r="A132" s="3">
        <v>1</v>
      </c>
      <c r="B132" s="4">
        <v>25</v>
      </c>
      <c r="C132" s="4">
        <v>90</v>
      </c>
      <c r="D132" s="4">
        <v>25</v>
      </c>
      <c r="E132" s="3">
        <v>2.0631949019607845</v>
      </c>
    </row>
    <row r="133" spans="1:5" x14ac:dyDescent="0.25">
      <c r="A133" s="3">
        <v>1</v>
      </c>
      <c r="B133" s="4">
        <v>25</v>
      </c>
      <c r="C133" s="4">
        <v>90</v>
      </c>
      <c r="D133" s="4">
        <v>30</v>
      </c>
      <c r="E133" s="3">
        <v>1.7325717647058827</v>
      </c>
    </row>
    <row r="134" spans="1:5" x14ac:dyDescent="0.25">
      <c r="A134" s="3">
        <v>1</v>
      </c>
      <c r="B134" s="4">
        <v>15</v>
      </c>
      <c r="C134" s="4">
        <v>90</v>
      </c>
      <c r="D134" s="4">
        <v>17</v>
      </c>
      <c r="E134" s="3">
        <v>0.18433333333333338</v>
      </c>
    </row>
    <row r="135" spans="1:5" x14ac:dyDescent="0.25">
      <c r="A135" s="3">
        <v>1</v>
      </c>
      <c r="B135" s="4">
        <v>15</v>
      </c>
      <c r="C135" s="4">
        <v>90</v>
      </c>
      <c r="D135" s="4">
        <v>25</v>
      </c>
      <c r="E135" s="3">
        <v>0.7200399999999999</v>
      </c>
    </row>
    <row r="136" spans="1:5" x14ac:dyDescent="0.25">
      <c r="A136" s="3">
        <v>1</v>
      </c>
      <c r="B136" s="4">
        <v>15</v>
      </c>
      <c r="C136" s="4">
        <v>90</v>
      </c>
      <c r="D136" s="4">
        <v>30</v>
      </c>
      <c r="E136" s="3">
        <v>1.6308286274509807</v>
      </c>
    </row>
    <row r="137" spans="1:5" x14ac:dyDescent="0.25">
      <c r="A137" s="3">
        <v>1</v>
      </c>
      <c r="B137" s="4">
        <v>10</v>
      </c>
      <c r="C137" s="4">
        <v>90</v>
      </c>
      <c r="D137" s="4">
        <v>17</v>
      </c>
      <c r="E137" s="3">
        <v>2.0388807843137253</v>
      </c>
    </row>
    <row r="138" spans="1:5" x14ac:dyDescent="0.25">
      <c r="A138" s="3">
        <v>1</v>
      </c>
      <c r="B138" s="4">
        <v>10</v>
      </c>
      <c r="C138" s="4">
        <v>90</v>
      </c>
      <c r="D138" s="4">
        <v>25</v>
      </c>
      <c r="E138" s="3">
        <v>1.8053870588235295</v>
      </c>
    </row>
    <row r="139" spans="1:5" x14ac:dyDescent="0.25">
      <c r="A139" s="3">
        <v>1</v>
      </c>
      <c r="B139" s="4">
        <v>10</v>
      </c>
      <c r="C139" s="4">
        <v>90</v>
      </c>
      <c r="D139" s="4">
        <v>30</v>
      </c>
      <c r="E139" s="3">
        <v>0.7351133333333334</v>
      </c>
    </row>
    <row r="140" spans="1:5" x14ac:dyDescent="0.25">
      <c r="A140" s="3">
        <v>1</v>
      </c>
      <c r="B140" s="4">
        <v>5</v>
      </c>
      <c r="C140" s="4">
        <v>90</v>
      </c>
      <c r="D140" s="4">
        <v>17</v>
      </c>
      <c r="E140" s="3">
        <v>0.66255450980392117</v>
      </c>
    </row>
    <row r="141" spans="1:5" x14ac:dyDescent="0.25">
      <c r="A141" s="3">
        <v>1</v>
      </c>
      <c r="B141" s="4">
        <v>5</v>
      </c>
      <c r="C141" s="4">
        <v>90</v>
      </c>
      <c r="D141" s="4">
        <v>25</v>
      </c>
      <c r="E141" s="3">
        <v>1.2311556862745099</v>
      </c>
    </row>
    <row r="142" spans="1:5" x14ac:dyDescent="0.25">
      <c r="A142" s="3">
        <v>1</v>
      </c>
      <c r="B142" s="4">
        <v>5</v>
      </c>
      <c r="C142" s="4">
        <v>90</v>
      </c>
      <c r="D142" s="4">
        <v>30</v>
      </c>
      <c r="E142" s="3">
        <v>1.1303878431372549</v>
      </c>
    </row>
    <row r="143" spans="1:5" x14ac:dyDescent="0.25">
      <c r="A143" s="3">
        <v>1</v>
      </c>
      <c r="B143" s="4">
        <v>0</v>
      </c>
      <c r="C143" s="4">
        <v>90</v>
      </c>
      <c r="D143" s="4">
        <v>17</v>
      </c>
      <c r="E143" s="3">
        <v>0.97409176470588199</v>
      </c>
    </row>
    <row r="144" spans="1:5" x14ac:dyDescent="0.25">
      <c r="A144" s="3">
        <v>1</v>
      </c>
      <c r="B144" s="4">
        <v>0</v>
      </c>
      <c r="C144" s="4">
        <v>90</v>
      </c>
      <c r="D144" s="4">
        <v>25</v>
      </c>
      <c r="E144" s="3">
        <v>0.27643999999999996</v>
      </c>
    </row>
    <row r="145" spans="1:6" x14ac:dyDescent="0.25">
      <c r="A145" s="3">
        <v>1</v>
      </c>
      <c r="B145" s="4">
        <v>0</v>
      </c>
      <c r="C145" s="4">
        <v>90</v>
      </c>
      <c r="D145" s="4">
        <v>30</v>
      </c>
      <c r="E145" s="3">
        <v>0.67288000000000014</v>
      </c>
      <c r="F145" s="21" t="s">
        <v>102</v>
      </c>
    </row>
    <row r="150" spans="1:6" x14ac:dyDescent="0.25">
      <c r="B150" t="s">
        <v>98</v>
      </c>
      <c r="C150" t="s">
        <v>99</v>
      </c>
      <c r="E150" t="s">
        <v>100</v>
      </c>
    </row>
    <row r="151" spans="1:6" x14ac:dyDescent="0.25">
      <c r="B151">
        <v>144</v>
      </c>
      <c r="C151">
        <f>B151/2</f>
        <v>72</v>
      </c>
      <c r="E151">
        <v>36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82"/>
  <sheetViews>
    <sheetView tabSelected="1" topLeftCell="C1" workbookViewId="0">
      <selection activeCell="J87" sqref="J87"/>
    </sheetView>
  </sheetViews>
  <sheetFormatPr defaultRowHeight="14.4" x14ac:dyDescent="0.25"/>
  <cols>
    <col min="5" max="5" width="12.5546875" bestFit="1" customWidth="1"/>
    <col min="6" max="6" width="8.6640625" bestFit="1" customWidth="1"/>
    <col min="7" max="7" width="11" bestFit="1" customWidth="1"/>
  </cols>
  <sheetData>
    <row r="1" spans="1:7" x14ac:dyDescent="0.25">
      <c r="A1" t="s">
        <v>24</v>
      </c>
      <c r="B1" s="1" t="s">
        <v>0</v>
      </c>
      <c r="C1" s="2" t="s">
        <v>1</v>
      </c>
      <c r="D1" s="2" t="s">
        <v>2</v>
      </c>
      <c r="E1" s="2" t="s">
        <v>10</v>
      </c>
      <c r="F1" s="1" t="s">
        <v>9</v>
      </c>
      <c r="G1" s="14" t="s">
        <v>82</v>
      </c>
    </row>
    <row r="2" spans="1:7" x14ac:dyDescent="0.25">
      <c r="A2">
        <v>2430</v>
      </c>
      <c r="B2" s="3">
        <v>1</v>
      </c>
      <c r="C2" s="4">
        <v>50</v>
      </c>
      <c r="D2" s="4">
        <v>100</v>
      </c>
      <c r="E2" s="4">
        <v>17</v>
      </c>
      <c r="F2" s="3">
        <v>1.4951564114722418</v>
      </c>
      <c r="G2" s="15">
        <f>MultiReg!$I$19+MultiReg!$I$20*CorrRavg!C2+MultiReg!$I$21*CorrRavg!D2</f>
        <v>1.602927</v>
      </c>
    </row>
    <row r="3" spans="1:7" x14ac:dyDescent="0.25">
      <c r="A3">
        <v>2430</v>
      </c>
      <c r="B3" s="3">
        <v>1</v>
      </c>
      <c r="C3" s="4">
        <v>50</v>
      </c>
      <c r="D3" s="4">
        <v>100</v>
      </c>
      <c r="E3" s="4">
        <v>25</v>
      </c>
      <c r="F3" s="3">
        <v>1.6256022247097128</v>
      </c>
      <c r="G3" s="15">
        <f>MultiReg!$I$19+MultiReg!$I$20*CorrRavg!C3+MultiReg!$I$21*CorrRavg!D3</f>
        <v>1.602927</v>
      </c>
    </row>
    <row r="4" spans="1:7" x14ac:dyDescent="0.25">
      <c r="A4">
        <v>2430</v>
      </c>
      <c r="B4" s="3">
        <v>1</v>
      </c>
      <c r="C4" s="4">
        <v>50</v>
      </c>
      <c r="D4" s="4">
        <v>100</v>
      </c>
      <c r="E4" s="4">
        <v>30</v>
      </c>
      <c r="F4" s="3">
        <v>1.5603792131930609</v>
      </c>
      <c r="G4" s="15">
        <f>MultiReg!$I$19+MultiReg!$I$20*CorrRavg!C4+MultiReg!$I$21*CorrRavg!D4</f>
        <v>1.602927</v>
      </c>
    </row>
    <row r="5" spans="1:7" x14ac:dyDescent="0.25">
      <c r="A5">
        <v>2430</v>
      </c>
      <c r="B5" s="3">
        <v>1</v>
      </c>
      <c r="C5" s="4">
        <v>25</v>
      </c>
      <c r="D5" s="4">
        <v>100</v>
      </c>
      <c r="E5" s="4">
        <v>17</v>
      </c>
      <c r="F5" s="3">
        <v>1.5967191434455525</v>
      </c>
      <c r="G5" s="15">
        <f>MultiReg!$I$19+MultiReg!$I$20*CorrRavg!C5+MultiReg!$I$21*CorrRavg!D5</f>
        <v>1.306627</v>
      </c>
    </row>
    <row r="6" spans="1:7" x14ac:dyDescent="0.25">
      <c r="A6">
        <v>2430</v>
      </c>
      <c r="B6" s="3">
        <v>1</v>
      </c>
      <c r="C6" s="4">
        <v>25</v>
      </c>
      <c r="D6" s="4">
        <v>100</v>
      </c>
      <c r="E6" s="4">
        <v>25</v>
      </c>
      <c r="F6" s="3">
        <v>1.6175301225929515</v>
      </c>
      <c r="G6" s="15">
        <f>MultiReg!$I$19+MultiReg!$I$20*CorrRavg!C6+MultiReg!$I$21*CorrRavg!D6</f>
        <v>1.306627</v>
      </c>
    </row>
    <row r="7" spans="1:7" x14ac:dyDescent="0.25">
      <c r="A7">
        <v>2430</v>
      </c>
      <c r="B7" s="3">
        <v>1</v>
      </c>
      <c r="C7" s="4">
        <v>25</v>
      </c>
      <c r="D7" s="4">
        <v>100</v>
      </c>
      <c r="E7" s="4">
        <v>30</v>
      </c>
      <c r="F7" s="3">
        <v>1.2519677054411074</v>
      </c>
      <c r="G7" s="15">
        <f>MultiReg!$I$19+MultiReg!$I$20*CorrRavg!C7+MultiReg!$I$21*CorrRavg!D7</f>
        <v>1.306627</v>
      </c>
    </row>
    <row r="8" spans="1:7" x14ac:dyDescent="0.25">
      <c r="A8">
        <v>2430</v>
      </c>
      <c r="B8" s="3">
        <v>1</v>
      </c>
      <c r="C8" s="4">
        <v>15</v>
      </c>
      <c r="D8" s="4">
        <v>100</v>
      </c>
      <c r="E8" s="4">
        <v>17</v>
      </c>
      <c r="F8" s="3">
        <v>1.0415096296228017</v>
      </c>
      <c r="G8" s="15">
        <f>MultiReg!$I$19+MultiReg!$I$20*CorrRavg!C8+MultiReg!$I$21*CorrRavg!D8</f>
        <v>1.188107</v>
      </c>
    </row>
    <row r="9" spans="1:7" x14ac:dyDescent="0.25">
      <c r="A9">
        <v>2430</v>
      </c>
      <c r="B9" s="3">
        <v>1</v>
      </c>
      <c r="C9" s="4">
        <v>15</v>
      </c>
      <c r="D9" s="4">
        <v>100</v>
      </c>
      <c r="E9" s="4">
        <v>25</v>
      </c>
      <c r="F9" s="3">
        <v>1.329941534309081</v>
      </c>
      <c r="G9" s="15">
        <f>MultiReg!$I$19+MultiReg!$I$20*CorrRavg!C9+MultiReg!$I$21*CorrRavg!D9</f>
        <v>1.188107</v>
      </c>
    </row>
    <row r="10" spans="1:7" x14ac:dyDescent="0.25">
      <c r="A10">
        <v>2430</v>
      </c>
      <c r="B10" s="3">
        <v>1</v>
      </c>
      <c r="C10" s="4">
        <v>15</v>
      </c>
      <c r="D10" s="4">
        <v>100</v>
      </c>
      <c r="E10" s="4">
        <v>30</v>
      </c>
      <c r="F10" s="3">
        <v>1.5660008299004491</v>
      </c>
      <c r="G10" s="15">
        <f>MultiReg!$I$19+MultiReg!$I$20*CorrRavg!C10+MultiReg!$I$21*CorrRavg!D10</f>
        <v>1.188107</v>
      </c>
    </row>
    <row r="11" spans="1:7" x14ac:dyDescent="0.25">
      <c r="A11">
        <v>2430</v>
      </c>
      <c r="B11" s="3">
        <v>1</v>
      </c>
      <c r="C11" s="4">
        <v>10</v>
      </c>
      <c r="D11" s="4">
        <v>100</v>
      </c>
      <c r="E11" s="4">
        <v>17</v>
      </c>
      <c r="F11" s="3">
        <v>1.3981551606864167</v>
      </c>
      <c r="G11" s="15">
        <f>MultiReg!$I$19+MultiReg!$I$20*CorrRavg!C11+MultiReg!$I$21*CorrRavg!D11</f>
        <v>1.1288469999999999</v>
      </c>
    </row>
    <row r="12" spans="1:7" x14ac:dyDescent="0.25">
      <c r="A12">
        <v>2430</v>
      </c>
      <c r="B12" s="3">
        <v>1</v>
      </c>
      <c r="C12" s="4">
        <v>10</v>
      </c>
      <c r="D12" s="4">
        <v>100</v>
      </c>
      <c r="E12" s="4">
        <v>25</v>
      </c>
      <c r="F12" s="3">
        <v>1.0207994571220553</v>
      </c>
      <c r="G12" s="15">
        <f>MultiReg!$I$19+MultiReg!$I$20*CorrRavg!C12+MultiReg!$I$21*CorrRavg!D12</f>
        <v>1.1288469999999999</v>
      </c>
    </row>
    <row r="13" spans="1:7" x14ac:dyDescent="0.25">
      <c r="A13">
        <v>2430</v>
      </c>
      <c r="B13" s="3">
        <v>1</v>
      </c>
      <c r="C13" s="4">
        <v>10</v>
      </c>
      <c r="D13" s="4">
        <v>100</v>
      </c>
      <c r="E13" s="4">
        <v>30</v>
      </c>
      <c r="F13" s="3">
        <v>1.4019870621779329</v>
      </c>
      <c r="G13" s="15">
        <f>MultiReg!$I$19+MultiReg!$I$20*CorrRavg!C13+MultiReg!$I$21*CorrRavg!D13</f>
        <v>1.1288469999999999</v>
      </c>
    </row>
    <row r="14" spans="1:7" x14ac:dyDescent="0.25">
      <c r="A14">
        <v>2430</v>
      </c>
      <c r="B14" s="3">
        <v>1</v>
      </c>
      <c r="C14" s="4">
        <v>5</v>
      </c>
      <c r="D14" s="4">
        <v>100</v>
      </c>
      <c r="E14" s="4">
        <v>17</v>
      </c>
      <c r="F14" s="3">
        <v>1.1434045919062215</v>
      </c>
      <c r="G14" s="15">
        <f>MultiReg!$I$19+MultiReg!$I$20*CorrRavg!C14+MultiReg!$I$21*CorrRavg!D14</f>
        <v>1.0695870000000001</v>
      </c>
    </row>
    <row r="15" spans="1:7" x14ac:dyDescent="0.25">
      <c r="A15">
        <v>2430</v>
      </c>
      <c r="B15" s="3">
        <v>1</v>
      </c>
      <c r="C15" s="4">
        <v>5</v>
      </c>
      <c r="D15" s="4">
        <v>100</v>
      </c>
      <c r="E15" s="4">
        <v>25</v>
      </c>
      <c r="F15" s="3">
        <v>0.84012622513421564</v>
      </c>
      <c r="G15" s="15">
        <f>MultiReg!$I$19+MultiReg!$I$20*CorrRavg!C15+MultiReg!$I$21*CorrRavg!D15</f>
        <v>1.0695870000000001</v>
      </c>
    </row>
    <row r="16" spans="1:7" x14ac:dyDescent="0.25">
      <c r="A16">
        <v>2430</v>
      </c>
      <c r="B16" s="3">
        <v>1</v>
      </c>
      <c r="C16" s="4">
        <v>5</v>
      </c>
      <c r="D16" s="4">
        <v>100</v>
      </c>
      <c r="E16" s="4">
        <v>30</v>
      </c>
      <c r="F16" s="3">
        <v>0.70524862630350782</v>
      </c>
      <c r="G16" s="15">
        <f>MultiReg!$I$19+MultiReg!$I$20*CorrRavg!C16+MultiReg!$I$21*CorrRavg!D16</f>
        <v>1.0695870000000001</v>
      </c>
    </row>
    <row r="17" spans="1:25" x14ac:dyDescent="0.25">
      <c r="A17">
        <v>2430</v>
      </c>
      <c r="B17" s="3">
        <v>1</v>
      </c>
      <c r="C17" s="4">
        <v>0</v>
      </c>
      <c r="D17" s="4">
        <v>100</v>
      </c>
      <c r="E17" s="4">
        <v>17</v>
      </c>
      <c r="F17" s="3">
        <v>0.5700497228926924</v>
      </c>
      <c r="G17" s="15">
        <f>MultiReg!$I$19+MultiReg!$I$20*CorrRavg!C17+MultiReg!$I$21*CorrRavg!D17</f>
        <v>1.010327</v>
      </c>
    </row>
    <row r="18" spans="1:25" x14ac:dyDescent="0.25">
      <c r="A18">
        <v>2430</v>
      </c>
      <c r="B18" s="3">
        <v>1</v>
      </c>
      <c r="C18" s="4">
        <v>0</v>
      </c>
      <c r="D18" s="4">
        <v>100</v>
      </c>
      <c r="E18" s="4">
        <v>25</v>
      </c>
      <c r="F18" s="3">
        <v>0.82661676212181745</v>
      </c>
      <c r="G18" s="15">
        <f>MultiReg!$I$19+MultiReg!$I$20*CorrRavg!C18+MultiReg!$I$21*CorrRavg!D18</f>
        <v>1.010327</v>
      </c>
    </row>
    <row r="19" spans="1:25" x14ac:dyDescent="0.25">
      <c r="A19">
        <v>2430</v>
      </c>
      <c r="B19" s="3">
        <v>1</v>
      </c>
      <c r="C19" s="4">
        <v>0</v>
      </c>
      <c r="D19" s="4">
        <v>100</v>
      </c>
      <c r="E19" s="4">
        <v>30</v>
      </c>
      <c r="F19" s="3">
        <v>0.90713349509606644</v>
      </c>
      <c r="G19" s="15">
        <f>MultiReg!$I$19+MultiReg!$I$20*CorrRavg!C19+MultiReg!$I$21*CorrRavg!D19</f>
        <v>1.010327</v>
      </c>
    </row>
    <row r="20" spans="1:25" x14ac:dyDescent="0.25">
      <c r="A20">
        <v>2430</v>
      </c>
      <c r="B20" s="3">
        <v>1</v>
      </c>
      <c r="C20" s="4">
        <v>50</v>
      </c>
      <c r="D20" s="4">
        <v>90</v>
      </c>
      <c r="E20" s="4">
        <v>17</v>
      </c>
      <c r="F20" s="3">
        <v>1.2991629784774201</v>
      </c>
      <c r="G20" s="15">
        <f>MultiReg!$I$19+MultiReg!$I$20*CorrRavg!C20+MultiReg!$I$21*CorrRavg!D20</f>
        <v>1.3095969999999999</v>
      </c>
    </row>
    <row r="21" spans="1:25" x14ac:dyDescent="0.25">
      <c r="A21">
        <v>2430</v>
      </c>
      <c r="B21" s="3">
        <v>1</v>
      </c>
      <c r="C21" s="4">
        <v>50</v>
      </c>
      <c r="D21" s="4">
        <v>90</v>
      </c>
      <c r="E21" s="4">
        <v>25</v>
      </c>
      <c r="F21" s="3">
        <v>1.0391822168993909</v>
      </c>
      <c r="G21" s="15">
        <f>MultiReg!$I$19+MultiReg!$I$20*CorrRavg!C21+MultiReg!$I$21*CorrRavg!D21</f>
        <v>1.3095969999999999</v>
      </c>
    </row>
    <row r="22" spans="1:25" x14ac:dyDescent="0.25">
      <c r="A22">
        <v>2430</v>
      </c>
      <c r="B22" s="3">
        <v>1</v>
      </c>
      <c r="C22" s="4">
        <v>50</v>
      </c>
      <c r="D22" s="4">
        <v>90</v>
      </c>
      <c r="E22" s="4">
        <v>30</v>
      </c>
      <c r="F22" s="3">
        <v>1.0640318110809481</v>
      </c>
      <c r="G22" s="15">
        <f>MultiReg!$I$19+MultiReg!$I$20*CorrRavg!C22+MultiReg!$I$21*CorrRavg!D22</f>
        <v>1.3095969999999999</v>
      </c>
    </row>
    <row r="23" spans="1:25" x14ac:dyDescent="0.25">
      <c r="A23">
        <v>2430</v>
      </c>
      <c r="B23" s="3">
        <v>1</v>
      </c>
      <c r="C23" s="4">
        <v>25</v>
      </c>
      <c r="D23" s="4">
        <v>90</v>
      </c>
      <c r="E23" s="4">
        <v>17</v>
      </c>
      <c r="F23" s="3">
        <v>1.5005227362337843</v>
      </c>
      <c r="G23" s="15">
        <f>MultiReg!$I$19+MultiReg!$I$20*CorrRavg!C23+MultiReg!$I$21*CorrRavg!D23</f>
        <v>1.0132969999999999</v>
      </c>
    </row>
    <row r="24" spans="1:25" x14ac:dyDescent="0.25">
      <c r="A24">
        <v>2430</v>
      </c>
      <c r="B24" s="3">
        <v>1</v>
      </c>
      <c r="C24" s="4">
        <v>25</v>
      </c>
      <c r="D24" s="4">
        <v>90</v>
      </c>
      <c r="E24" s="4">
        <v>25</v>
      </c>
      <c r="F24" s="3">
        <v>0.64470129360374395</v>
      </c>
      <c r="G24" s="15">
        <f>MultiReg!$I$19+MultiReg!$I$20*CorrRavg!C24+MultiReg!$I$21*CorrRavg!D24</f>
        <v>1.0132969999999999</v>
      </c>
      <c r="V24" t="s">
        <v>26</v>
      </c>
    </row>
    <row r="25" spans="1:25" x14ac:dyDescent="0.25">
      <c r="A25">
        <v>2430</v>
      </c>
      <c r="B25" s="3">
        <v>1</v>
      </c>
      <c r="C25" s="4">
        <v>25</v>
      </c>
      <c r="D25" s="4">
        <v>90</v>
      </c>
      <c r="E25" s="4">
        <v>30</v>
      </c>
      <c r="F25" s="3">
        <v>1.4548277924871202</v>
      </c>
      <c r="G25" s="15">
        <f>MultiReg!$I$19+MultiReg!$I$20*CorrRavg!C25+MultiReg!$I$21*CorrRavg!D25</f>
        <v>1.0132969999999999</v>
      </c>
      <c r="U25" t="s">
        <v>25</v>
      </c>
      <c r="V25">
        <v>10.6</v>
      </c>
      <c r="W25" s="7" t="s">
        <v>27</v>
      </c>
      <c r="X25">
        <v>1</v>
      </c>
      <c r="Y25" t="s">
        <v>29</v>
      </c>
    </row>
    <row r="26" spans="1:25" x14ac:dyDescent="0.25">
      <c r="A26">
        <v>2430</v>
      </c>
      <c r="B26" s="3">
        <v>1</v>
      </c>
      <c r="C26" s="4">
        <v>15</v>
      </c>
      <c r="D26" s="4">
        <v>90</v>
      </c>
      <c r="E26" s="4">
        <v>17</v>
      </c>
      <c r="F26" s="3">
        <v>0.58618824005664039</v>
      </c>
      <c r="G26" s="15">
        <f>MultiReg!$I$19+MultiReg!$I$20*CorrRavg!C26+MultiReg!$I$21*CorrRavg!D26</f>
        <v>0.89477699999999993</v>
      </c>
      <c r="U26" t="s">
        <v>28</v>
      </c>
      <c r="V26">
        <v>7.8</v>
      </c>
      <c r="X26">
        <v>0.4</v>
      </c>
      <c r="Y26" t="s">
        <v>29</v>
      </c>
    </row>
    <row r="27" spans="1:25" x14ac:dyDescent="0.25">
      <c r="A27">
        <v>2430</v>
      </c>
      <c r="B27" s="3">
        <v>1</v>
      </c>
      <c r="C27" s="4">
        <v>15</v>
      </c>
      <c r="D27" s="4">
        <v>90</v>
      </c>
      <c r="E27" s="4">
        <v>25</v>
      </c>
      <c r="F27" s="3">
        <v>0.88366086342247452</v>
      </c>
      <c r="G27" s="15">
        <f>MultiReg!$I$19+MultiReg!$I$20*CorrRavg!C27+MultiReg!$I$21*CorrRavg!D27</f>
        <v>0.89477699999999993</v>
      </c>
    </row>
    <row r="28" spans="1:25" x14ac:dyDescent="0.25">
      <c r="A28">
        <v>2430</v>
      </c>
      <c r="B28" s="3">
        <v>1</v>
      </c>
      <c r="C28" s="4">
        <v>15</v>
      </c>
      <c r="D28" s="4">
        <v>90</v>
      </c>
      <c r="E28" s="4">
        <v>30</v>
      </c>
      <c r="F28" s="3">
        <v>0.87068996277145272</v>
      </c>
      <c r="G28" s="15">
        <f>MultiReg!$I$19+MultiReg!$I$20*CorrRavg!C28+MultiReg!$I$21*CorrRavg!D28</f>
        <v>0.89477699999999993</v>
      </c>
    </row>
    <row r="29" spans="1:25" x14ac:dyDescent="0.25">
      <c r="A29">
        <v>2430</v>
      </c>
      <c r="B29" s="3">
        <v>1</v>
      </c>
      <c r="C29" s="4">
        <v>10</v>
      </c>
      <c r="D29" s="4">
        <v>90</v>
      </c>
      <c r="E29" s="4">
        <v>17</v>
      </c>
      <c r="F29" s="3">
        <v>1.0420788245442298</v>
      </c>
      <c r="G29" s="15">
        <f>MultiReg!$I$19+MultiReg!$I$20*CorrRavg!C29+MultiReg!$I$21*CorrRavg!D29</f>
        <v>0.83551699999999984</v>
      </c>
    </row>
    <row r="30" spans="1:25" x14ac:dyDescent="0.25">
      <c r="A30">
        <v>2430</v>
      </c>
      <c r="B30" s="3">
        <v>1</v>
      </c>
      <c r="C30" s="4">
        <v>10</v>
      </c>
      <c r="D30" s="4">
        <v>90</v>
      </c>
      <c r="E30" s="4">
        <v>25</v>
      </c>
      <c r="F30" s="3">
        <v>0.94439401909988319</v>
      </c>
      <c r="G30" s="15">
        <f>MultiReg!$I$19+MultiReg!$I$20*CorrRavg!C30+MultiReg!$I$21*CorrRavg!D30</f>
        <v>0.83551699999999984</v>
      </c>
    </row>
    <row r="31" spans="1:25" x14ac:dyDescent="0.25">
      <c r="A31">
        <v>2430</v>
      </c>
      <c r="B31" s="3">
        <v>1</v>
      </c>
      <c r="C31" s="4">
        <v>10</v>
      </c>
      <c r="D31" s="4">
        <v>90</v>
      </c>
      <c r="E31" s="4">
        <v>30</v>
      </c>
      <c r="F31" s="3">
        <v>0.97205592432898746</v>
      </c>
      <c r="G31" s="15">
        <f>MultiReg!$I$19+MultiReg!$I$20*CorrRavg!C31+MultiReg!$I$21*CorrRavg!D31</f>
        <v>0.83551699999999984</v>
      </c>
    </row>
    <row r="32" spans="1:25" x14ac:dyDescent="0.25">
      <c r="A32">
        <v>2430</v>
      </c>
      <c r="B32" s="3">
        <v>1</v>
      </c>
      <c r="C32" s="4">
        <v>5</v>
      </c>
      <c r="D32" s="4">
        <v>90</v>
      </c>
      <c r="E32" s="4">
        <v>17</v>
      </c>
      <c r="F32" s="3">
        <v>0.65088822705975802</v>
      </c>
      <c r="G32" s="15">
        <f>MultiReg!$I$19+MultiReg!$I$20*CorrRavg!C32+MultiReg!$I$21*CorrRavg!D32</f>
        <v>0.77625699999999997</v>
      </c>
    </row>
    <row r="33" spans="1:7" x14ac:dyDescent="0.25">
      <c r="A33">
        <v>2430</v>
      </c>
      <c r="B33" s="3">
        <v>1</v>
      </c>
      <c r="C33" s="4">
        <v>5</v>
      </c>
      <c r="D33" s="4">
        <v>90</v>
      </c>
      <c r="E33" s="4">
        <v>25</v>
      </c>
      <c r="F33" s="3">
        <v>0.85667526883113077</v>
      </c>
      <c r="G33" s="15">
        <f>MultiReg!$I$19+MultiReg!$I$20*CorrRavg!C33+MultiReg!$I$21*CorrRavg!D33</f>
        <v>0.77625699999999997</v>
      </c>
    </row>
    <row r="34" spans="1:7" x14ac:dyDescent="0.25">
      <c r="A34">
        <v>2430</v>
      </c>
      <c r="B34" s="3">
        <v>1</v>
      </c>
      <c r="C34" s="4">
        <v>5</v>
      </c>
      <c r="D34" s="4">
        <v>90</v>
      </c>
      <c r="E34" s="4">
        <v>30</v>
      </c>
      <c r="F34" s="3">
        <v>0.46665137254901956</v>
      </c>
      <c r="G34" s="15">
        <f>MultiReg!$I$19+MultiReg!$I$20*CorrRavg!C34+MultiReg!$I$21*CorrRavg!D34</f>
        <v>0.77625699999999997</v>
      </c>
    </row>
    <row r="35" spans="1:7" x14ac:dyDescent="0.25">
      <c r="A35">
        <v>2430</v>
      </c>
      <c r="B35" s="3">
        <v>1</v>
      </c>
      <c r="C35" s="4">
        <v>0</v>
      </c>
      <c r="D35" s="4">
        <v>90</v>
      </c>
      <c r="E35" s="4">
        <v>17</v>
      </c>
      <c r="F35" s="3">
        <v>0.58835769883386702</v>
      </c>
      <c r="G35" s="15">
        <f>MultiReg!$I$19+MultiReg!$I$20*CorrRavg!C35+MultiReg!$I$21*CorrRavg!D35</f>
        <v>0.71699699999999988</v>
      </c>
    </row>
    <row r="36" spans="1:7" x14ac:dyDescent="0.25">
      <c r="A36">
        <v>2430</v>
      </c>
      <c r="B36" s="3">
        <v>1</v>
      </c>
      <c r="C36" s="4">
        <v>0</v>
      </c>
      <c r="D36" s="4">
        <v>90</v>
      </c>
      <c r="E36" s="4">
        <v>25</v>
      </c>
      <c r="F36" s="3">
        <v>0.72152910906739365</v>
      </c>
      <c r="G36" s="15">
        <f>MultiReg!$I$19+MultiReg!$I$20*CorrRavg!C36+MultiReg!$I$21*CorrRavg!D36</f>
        <v>0.71699699999999988</v>
      </c>
    </row>
    <row r="37" spans="1:7" x14ac:dyDescent="0.25">
      <c r="A37">
        <v>2430</v>
      </c>
      <c r="B37" s="3">
        <v>1</v>
      </c>
      <c r="C37" s="4">
        <v>0</v>
      </c>
      <c r="D37" s="4">
        <v>90</v>
      </c>
      <c r="E37" s="4">
        <v>30</v>
      </c>
      <c r="F37" s="3">
        <v>1.0689749177046481</v>
      </c>
      <c r="G37" s="15">
        <f>MultiReg!$I$19+MultiReg!$I$20*CorrRavg!C37+MultiReg!$I$21*CorrRavg!D37</f>
        <v>0.71699699999999988</v>
      </c>
    </row>
    <row r="38" spans="1:7" x14ac:dyDescent="0.25">
      <c r="A38">
        <v>2430</v>
      </c>
      <c r="B38" s="3">
        <v>-1</v>
      </c>
      <c r="C38" s="4">
        <v>50</v>
      </c>
      <c r="D38" s="4">
        <v>100</v>
      </c>
      <c r="E38" s="4">
        <v>17</v>
      </c>
      <c r="F38" s="3">
        <v>3.7563795728216371</v>
      </c>
      <c r="G38" s="15">
        <f>MultiReg!$T$39+MultiReg!$T$40*CorrRavg!C38</f>
        <v>3.4274179999999999</v>
      </c>
    </row>
    <row r="39" spans="1:7" x14ac:dyDescent="0.25">
      <c r="A39">
        <v>2430</v>
      </c>
      <c r="B39" s="3">
        <v>-1</v>
      </c>
      <c r="C39" s="4">
        <v>50</v>
      </c>
      <c r="D39" s="4">
        <v>100</v>
      </c>
      <c r="E39" s="4">
        <v>25</v>
      </c>
      <c r="F39" s="3">
        <v>3.9201194074340142</v>
      </c>
      <c r="G39" s="15">
        <f>MultiReg!$T$39+MultiReg!$T$40*CorrRavg!C39</f>
        <v>3.4274179999999999</v>
      </c>
    </row>
    <row r="40" spans="1:7" x14ac:dyDescent="0.25">
      <c r="A40">
        <v>2430</v>
      </c>
      <c r="B40" s="3">
        <v>-1</v>
      </c>
      <c r="C40" s="4">
        <v>50</v>
      </c>
      <c r="D40" s="4">
        <v>100</v>
      </c>
      <c r="E40" s="4">
        <v>30</v>
      </c>
      <c r="F40" s="3">
        <v>2.3598615686274504</v>
      </c>
      <c r="G40" s="15">
        <f>MultiReg!$T$39+MultiReg!$T$40*CorrRavg!C40</f>
        <v>3.4274179999999999</v>
      </c>
    </row>
    <row r="41" spans="1:7" x14ac:dyDescent="0.25">
      <c r="A41">
        <v>2430</v>
      </c>
      <c r="B41" s="3">
        <v>-1</v>
      </c>
      <c r="C41" s="4">
        <v>25</v>
      </c>
      <c r="D41" s="4">
        <v>100</v>
      </c>
      <c r="E41" s="4">
        <v>17</v>
      </c>
      <c r="F41" s="3">
        <v>2.0725688941923157</v>
      </c>
      <c r="G41" s="15">
        <f>MultiReg!$T$39+MultiReg!$T$40*CorrRavg!C41</f>
        <v>2.312093</v>
      </c>
    </row>
    <row r="42" spans="1:7" x14ac:dyDescent="0.25">
      <c r="A42">
        <v>2430</v>
      </c>
      <c r="B42" s="3">
        <v>-1</v>
      </c>
      <c r="C42" s="4">
        <v>25</v>
      </c>
      <c r="D42" s="4">
        <v>100</v>
      </c>
      <c r="E42" s="4">
        <v>25</v>
      </c>
      <c r="F42" s="3">
        <v>2.6820770504879485</v>
      </c>
      <c r="G42" s="15">
        <f>MultiReg!$T$39+MultiReg!$T$40*CorrRavg!C42</f>
        <v>2.312093</v>
      </c>
    </row>
    <row r="43" spans="1:7" x14ac:dyDescent="0.25">
      <c r="A43">
        <v>2430</v>
      </c>
      <c r="B43" s="3">
        <v>-1</v>
      </c>
      <c r="C43" s="4">
        <v>25</v>
      </c>
      <c r="D43" s="4">
        <v>100</v>
      </c>
      <c r="E43" s="4">
        <v>30</v>
      </c>
      <c r="F43" s="3">
        <v>3.0094200756984786</v>
      </c>
      <c r="G43" s="15">
        <f>MultiReg!$T$39+MultiReg!$T$40*CorrRavg!C43</f>
        <v>2.312093</v>
      </c>
    </row>
    <row r="44" spans="1:7" x14ac:dyDescent="0.25">
      <c r="A44">
        <v>2430</v>
      </c>
      <c r="B44" s="3">
        <v>-1</v>
      </c>
      <c r="C44" s="4">
        <v>15</v>
      </c>
      <c r="D44" s="4">
        <v>100</v>
      </c>
      <c r="E44" s="4">
        <v>17</v>
      </c>
      <c r="F44" s="3">
        <v>1.8768141125498954</v>
      </c>
      <c r="G44" s="15">
        <f>MultiReg!$T$39+MultiReg!$T$40*CorrRavg!C44</f>
        <v>1.865963</v>
      </c>
    </row>
    <row r="45" spans="1:7" x14ac:dyDescent="0.25">
      <c r="A45">
        <v>2430</v>
      </c>
      <c r="B45" s="3">
        <v>-1</v>
      </c>
      <c r="C45" s="4">
        <v>15</v>
      </c>
      <c r="D45" s="4">
        <v>100</v>
      </c>
      <c r="E45" s="4">
        <v>25</v>
      </c>
      <c r="F45" s="3">
        <v>2.2036007602988485</v>
      </c>
      <c r="G45" s="15">
        <f>MultiReg!$T$39+MultiReg!$T$40*CorrRavg!C45</f>
        <v>1.865963</v>
      </c>
    </row>
    <row r="46" spans="1:7" x14ac:dyDescent="0.25">
      <c r="A46">
        <v>2430</v>
      </c>
      <c r="B46" s="3">
        <v>-1</v>
      </c>
      <c r="C46" s="4">
        <v>15</v>
      </c>
      <c r="D46" s="4">
        <v>100</v>
      </c>
      <c r="E46" s="4">
        <v>30</v>
      </c>
      <c r="F46" s="3">
        <v>0.5352209660539009</v>
      </c>
      <c r="G46" s="15">
        <f>MultiReg!$T$39+MultiReg!$T$40*CorrRavg!C46</f>
        <v>1.865963</v>
      </c>
    </row>
    <row r="47" spans="1:7" x14ac:dyDescent="0.25">
      <c r="A47">
        <v>2430</v>
      </c>
      <c r="B47" s="3">
        <v>-1</v>
      </c>
      <c r="C47" s="4">
        <v>10</v>
      </c>
      <c r="D47" s="4">
        <v>100</v>
      </c>
      <c r="E47" s="4">
        <v>17</v>
      </c>
      <c r="F47" s="3">
        <v>1.5257981130059446</v>
      </c>
      <c r="G47" s="15">
        <f>MultiReg!$T$39+MultiReg!$T$40*CorrRavg!C47</f>
        <v>1.6428980000000002</v>
      </c>
    </row>
    <row r="48" spans="1:7" x14ac:dyDescent="0.25">
      <c r="A48">
        <v>2430</v>
      </c>
      <c r="B48" s="3">
        <v>-1</v>
      </c>
      <c r="C48" s="4">
        <v>10</v>
      </c>
      <c r="D48" s="4">
        <v>100</v>
      </c>
      <c r="E48" s="4">
        <v>25</v>
      </c>
      <c r="F48" s="3">
        <v>1.5178214010812767</v>
      </c>
      <c r="G48" s="15">
        <f>MultiReg!$T$39+MultiReg!$T$40*CorrRavg!C48</f>
        <v>1.6428980000000002</v>
      </c>
    </row>
    <row r="49" spans="1:19" x14ac:dyDescent="0.25">
      <c r="A49">
        <v>2430</v>
      </c>
      <c r="B49" s="3">
        <v>-1</v>
      </c>
      <c r="C49" s="4">
        <v>10</v>
      </c>
      <c r="D49" s="4">
        <v>100</v>
      </c>
      <c r="E49" s="4">
        <v>30</v>
      </c>
      <c r="F49" s="3">
        <v>2.2313573621680218</v>
      </c>
      <c r="G49" s="15">
        <f>MultiReg!$T$39+MultiReg!$T$40*CorrRavg!C49</f>
        <v>1.6428980000000002</v>
      </c>
    </row>
    <row r="50" spans="1:19" x14ac:dyDescent="0.25">
      <c r="A50">
        <v>2430</v>
      </c>
      <c r="B50" s="3">
        <v>-1</v>
      </c>
      <c r="C50" s="4">
        <v>5</v>
      </c>
      <c r="D50" s="4">
        <v>100</v>
      </c>
      <c r="E50" s="4">
        <v>17</v>
      </c>
      <c r="F50" s="3">
        <v>1.2520239261455526</v>
      </c>
      <c r="G50" s="15">
        <f>MultiReg!$T$39+MultiReg!$T$40*CorrRavg!C50</f>
        <v>1.4198330000000001</v>
      </c>
    </row>
    <row r="51" spans="1:19" x14ac:dyDescent="0.25">
      <c r="A51">
        <v>2430</v>
      </c>
      <c r="B51" s="3">
        <v>-1</v>
      </c>
      <c r="C51" s="4">
        <v>5</v>
      </c>
      <c r="D51" s="4">
        <v>100</v>
      </c>
      <c r="E51" s="4">
        <v>25</v>
      </c>
      <c r="F51" s="3">
        <v>1.3068992782221878</v>
      </c>
      <c r="G51" s="15">
        <f>MultiReg!$T$39+MultiReg!$T$40*CorrRavg!C51</f>
        <v>1.4198330000000001</v>
      </c>
    </row>
    <row r="52" spans="1:19" x14ac:dyDescent="0.25">
      <c r="A52">
        <v>2430</v>
      </c>
      <c r="B52" s="3">
        <v>-1</v>
      </c>
      <c r="C52" s="4">
        <v>5</v>
      </c>
      <c r="D52" s="4">
        <v>100</v>
      </c>
      <c r="E52" s="4">
        <v>30</v>
      </c>
      <c r="F52" s="3">
        <v>1.9465389596709888</v>
      </c>
      <c r="G52" s="15">
        <f>MultiReg!$T$39+MultiReg!$T$40*CorrRavg!C52</f>
        <v>1.4198330000000001</v>
      </c>
    </row>
    <row r="53" spans="1:19" x14ac:dyDescent="0.25">
      <c r="A53">
        <v>2430</v>
      </c>
      <c r="B53" s="3">
        <v>-1</v>
      </c>
      <c r="C53" s="4">
        <v>0</v>
      </c>
      <c r="D53" s="4">
        <v>100</v>
      </c>
      <c r="E53" s="4">
        <v>17</v>
      </c>
      <c r="F53" s="3">
        <v>0.53255058823529422</v>
      </c>
      <c r="G53" s="15">
        <f>MultiReg!$T$39+MultiReg!$T$40*CorrRavg!C53</f>
        <v>1.1967680000000001</v>
      </c>
    </row>
    <row r="54" spans="1:19" x14ac:dyDescent="0.25">
      <c r="A54">
        <v>2430</v>
      </c>
      <c r="B54" s="3">
        <v>-1</v>
      </c>
      <c r="C54" s="4">
        <v>0</v>
      </c>
      <c r="D54" s="4">
        <v>100</v>
      </c>
      <c r="E54" s="4">
        <v>25</v>
      </c>
      <c r="F54" s="3">
        <v>0.63018438209418681</v>
      </c>
      <c r="G54" s="15">
        <f>MultiReg!$T$39+MultiReg!$T$40*CorrRavg!C54</f>
        <v>1.1967680000000001</v>
      </c>
    </row>
    <row r="55" spans="1:19" x14ac:dyDescent="0.25">
      <c r="A55">
        <v>2430</v>
      </c>
      <c r="B55" s="3">
        <v>-1</v>
      </c>
      <c r="C55" s="4">
        <v>0</v>
      </c>
      <c r="D55" s="4">
        <v>100</v>
      </c>
      <c r="E55" s="4">
        <v>30</v>
      </c>
      <c r="F55" s="3">
        <v>1.1458766801227607</v>
      </c>
      <c r="G55" s="15">
        <f>MultiReg!$T$39+MultiReg!$T$40*CorrRavg!C55</f>
        <v>1.1967680000000001</v>
      </c>
    </row>
    <row r="56" spans="1:19" x14ac:dyDescent="0.25">
      <c r="A56">
        <v>2430</v>
      </c>
      <c r="B56" s="3">
        <v>-1</v>
      </c>
      <c r="C56" s="4">
        <v>50</v>
      </c>
      <c r="D56" s="4">
        <v>90</v>
      </c>
      <c r="E56" s="4">
        <v>17</v>
      </c>
      <c r="F56" s="3">
        <v>2.6279055932599023</v>
      </c>
      <c r="G56" s="15">
        <f>MultiReg!$T$39+MultiReg!$T$40*CorrRavg!C56</f>
        <v>3.4274179999999999</v>
      </c>
    </row>
    <row r="57" spans="1:19" x14ac:dyDescent="0.25">
      <c r="A57">
        <v>2430</v>
      </c>
      <c r="B57" s="3">
        <v>-1</v>
      </c>
      <c r="C57" s="4">
        <v>50</v>
      </c>
      <c r="D57" s="4">
        <v>90</v>
      </c>
      <c r="E57" s="4">
        <v>25</v>
      </c>
      <c r="F57" s="3">
        <v>3.5750397097590687</v>
      </c>
      <c r="G57" s="15">
        <f>MultiReg!$T$39+MultiReg!$T$40*CorrRavg!C57</f>
        <v>3.4274179999999999</v>
      </c>
    </row>
    <row r="58" spans="1:19" x14ac:dyDescent="0.25">
      <c r="A58">
        <v>2430</v>
      </c>
      <c r="B58" s="3">
        <v>-1</v>
      </c>
      <c r="C58" s="4">
        <v>50</v>
      </c>
      <c r="D58" s="4">
        <v>90</v>
      </c>
      <c r="E58" s="4">
        <v>30</v>
      </c>
      <c r="F58" s="3">
        <v>2.8437081200839076</v>
      </c>
      <c r="G58" s="15">
        <f>MultiReg!$T$39+MultiReg!$T$40*CorrRavg!C58</f>
        <v>3.4274179999999999</v>
      </c>
    </row>
    <row r="59" spans="1:19" x14ac:dyDescent="0.25">
      <c r="A59">
        <v>2430</v>
      </c>
      <c r="B59" s="3">
        <v>-1</v>
      </c>
      <c r="C59" s="4">
        <v>25</v>
      </c>
      <c r="D59" s="4">
        <v>90</v>
      </c>
      <c r="E59" s="4">
        <v>17</v>
      </c>
      <c r="F59" s="3">
        <v>3.0713464791946015</v>
      </c>
      <c r="G59" s="15">
        <f>MultiReg!$T$39+MultiReg!$T$40*CorrRavg!C59</f>
        <v>2.312093</v>
      </c>
      <c r="S59">
        <f>SQRT(0.7144)</f>
        <v>0.84522186436461755</v>
      </c>
    </row>
    <row r="60" spans="1:19" x14ac:dyDescent="0.25">
      <c r="A60">
        <v>2430</v>
      </c>
      <c r="B60" s="3">
        <v>-1</v>
      </c>
      <c r="C60" s="4">
        <v>25</v>
      </c>
      <c r="D60" s="4">
        <v>90</v>
      </c>
      <c r="E60" s="4">
        <v>25</v>
      </c>
      <c r="F60" s="3">
        <v>2.4915974509803922</v>
      </c>
      <c r="G60" s="15">
        <f>MultiReg!$T$39+MultiReg!$T$40*CorrRavg!C60</f>
        <v>2.312093</v>
      </c>
    </row>
    <row r="61" spans="1:19" x14ac:dyDescent="0.25">
      <c r="A61">
        <v>2430</v>
      </c>
      <c r="B61" s="3">
        <v>-1</v>
      </c>
      <c r="C61" s="4">
        <v>25</v>
      </c>
      <c r="D61" s="4">
        <v>90</v>
      </c>
      <c r="E61" s="4">
        <v>30</v>
      </c>
      <c r="F61" s="3">
        <v>3.3221849890934925</v>
      </c>
      <c r="G61" s="15">
        <f>MultiReg!$T$39+MultiReg!$T$40*CorrRavg!C61</f>
        <v>2.312093</v>
      </c>
    </row>
    <row r="62" spans="1:19" x14ac:dyDescent="0.25">
      <c r="A62">
        <v>2430</v>
      </c>
      <c r="B62" s="3">
        <v>-1</v>
      </c>
      <c r="C62" s="4">
        <v>15</v>
      </c>
      <c r="D62" s="4">
        <v>90</v>
      </c>
      <c r="E62" s="4">
        <v>17</v>
      </c>
      <c r="F62" s="3">
        <v>1.2561104992424437</v>
      </c>
      <c r="G62" s="15">
        <f>MultiReg!$T$39+MultiReg!$T$40*CorrRavg!C62</f>
        <v>1.865963</v>
      </c>
    </row>
    <row r="63" spans="1:19" x14ac:dyDescent="0.25">
      <c r="A63">
        <v>2430</v>
      </c>
      <c r="B63" s="3">
        <v>-1</v>
      </c>
      <c r="C63" s="4">
        <v>15</v>
      </c>
      <c r="D63" s="4">
        <v>90</v>
      </c>
      <c r="E63" s="4">
        <v>25</v>
      </c>
      <c r="F63" s="3">
        <v>1.7209025681447656</v>
      </c>
      <c r="G63" s="15">
        <f>MultiReg!$T$39+MultiReg!$T$40*CorrRavg!C63</f>
        <v>1.865963</v>
      </c>
    </row>
    <row r="64" spans="1:19" x14ac:dyDescent="0.25">
      <c r="A64">
        <v>2430</v>
      </c>
      <c r="B64" s="3">
        <v>-1</v>
      </c>
      <c r="C64" s="4">
        <v>15</v>
      </c>
      <c r="D64" s="4">
        <v>90</v>
      </c>
      <c r="E64" s="4">
        <v>30</v>
      </c>
      <c r="F64" s="3">
        <v>3.2997994060893774</v>
      </c>
      <c r="G64" s="15">
        <f>MultiReg!$T$39+MultiReg!$T$40*CorrRavg!C64</f>
        <v>1.865963</v>
      </c>
    </row>
    <row r="65" spans="1:9" x14ac:dyDescent="0.25">
      <c r="A65">
        <v>2430</v>
      </c>
      <c r="B65" s="3">
        <v>-1</v>
      </c>
      <c r="C65" s="4">
        <v>10</v>
      </c>
      <c r="D65" s="4">
        <v>90</v>
      </c>
      <c r="E65" s="4">
        <v>17</v>
      </c>
      <c r="F65" s="3">
        <v>1.8219351841685956</v>
      </c>
      <c r="G65" s="15">
        <f>MultiReg!$T$39+MultiReg!$T$40*CorrRavg!C65</f>
        <v>1.6428980000000002</v>
      </c>
    </row>
    <row r="66" spans="1:9" x14ac:dyDescent="0.25">
      <c r="A66">
        <v>2430</v>
      </c>
      <c r="B66" s="3">
        <v>-1</v>
      </c>
      <c r="C66" s="4">
        <v>10</v>
      </c>
      <c r="D66" s="4">
        <v>90</v>
      </c>
      <c r="E66" s="4">
        <v>25</v>
      </c>
      <c r="F66" s="3">
        <v>1.7800068579088575</v>
      </c>
      <c r="G66" s="15">
        <f>MultiReg!$T$39+MultiReg!$T$40*CorrRavg!C66</f>
        <v>1.6428980000000002</v>
      </c>
    </row>
    <row r="67" spans="1:9" x14ac:dyDescent="0.25">
      <c r="A67">
        <v>2430</v>
      </c>
      <c r="B67" s="3">
        <v>-1</v>
      </c>
      <c r="C67" s="4">
        <v>10</v>
      </c>
      <c r="D67" s="4">
        <v>90</v>
      </c>
      <c r="E67" s="4">
        <v>30</v>
      </c>
      <c r="F67" s="3">
        <v>1.7188609862598438</v>
      </c>
      <c r="G67" s="15">
        <f>MultiReg!$T$39+MultiReg!$T$40*CorrRavg!C67</f>
        <v>1.6428980000000002</v>
      </c>
    </row>
    <row r="68" spans="1:9" x14ac:dyDescent="0.25">
      <c r="A68">
        <v>2430</v>
      </c>
      <c r="B68" s="3">
        <v>-1</v>
      </c>
      <c r="C68" s="4">
        <v>5</v>
      </c>
      <c r="D68" s="4">
        <v>90</v>
      </c>
      <c r="E68" s="4">
        <v>17</v>
      </c>
      <c r="F68" s="3">
        <v>0.75294392156862722</v>
      </c>
      <c r="G68" s="15">
        <f>MultiReg!$T$39+MultiReg!$T$40*CorrRavg!C68</f>
        <v>1.4198330000000001</v>
      </c>
    </row>
    <row r="69" spans="1:9" x14ac:dyDescent="0.25">
      <c r="A69">
        <v>2430</v>
      </c>
      <c r="B69" s="3">
        <v>-1</v>
      </c>
      <c r="C69" s="4">
        <v>5</v>
      </c>
      <c r="D69" s="4">
        <v>90</v>
      </c>
      <c r="E69" s="4">
        <v>25</v>
      </c>
      <c r="F69" s="3">
        <v>1.2055672703391616</v>
      </c>
      <c r="G69" s="15">
        <f>MultiReg!$T$39+MultiReg!$T$40*CorrRavg!C69</f>
        <v>1.4198330000000001</v>
      </c>
    </row>
    <row r="70" spans="1:9" x14ac:dyDescent="0.25">
      <c r="A70">
        <v>2430</v>
      </c>
      <c r="B70" s="3">
        <v>-1</v>
      </c>
      <c r="C70" s="4">
        <v>5</v>
      </c>
      <c r="D70" s="4">
        <v>90</v>
      </c>
      <c r="E70" s="4">
        <v>30</v>
      </c>
      <c r="F70" s="3">
        <v>2.3635082296380867</v>
      </c>
      <c r="G70" s="15">
        <f>MultiReg!$T$39+MultiReg!$T$40*CorrRavg!C70</f>
        <v>1.4198330000000001</v>
      </c>
    </row>
    <row r="71" spans="1:9" x14ac:dyDescent="0.25">
      <c r="A71">
        <v>2430</v>
      </c>
      <c r="B71" s="3">
        <v>-1</v>
      </c>
      <c r="C71" s="4">
        <v>0</v>
      </c>
      <c r="D71" s="4">
        <v>90</v>
      </c>
      <c r="E71" s="4">
        <v>17</v>
      </c>
      <c r="F71" s="3">
        <v>0.81704588235294096</v>
      </c>
      <c r="G71" s="15">
        <f>MultiReg!$T$39+MultiReg!$T$40*CorrRavg!C71</f>
        <v>1.1967680000000001</v>
      </c>
    </row>
    <row r="72" spans="1:9" x14ac:dyDescent="0.25">
      <c r="A72">
        <v>2430</v>
      </c>
      <c r="B72" s="3">
        <v>-1</v>
      </c>
      <c r="C72" s="4">
        <v>0</v>
      </c>
      <c r="D72" s="4">
        <v>90</v>
      </c>
      <c r="E72" s="4">
        <v>25</v>
      </c>
      <c r="F72" s="3">
        <v>0.66332669402334354</v>
      </c>
      <c r="G72" s="15">
        <f>MultiReg!$T$39+MultiReg!$T$40*CorrRavg!C72</f>
        <v>1.1967680000000001</v>
      </c>
    </row>
    <row r="73" spans="1:9" x14ac:dyDescent="0.25">
      <c r="A73">
        <v>2430</v>
      </c>
      <c r="B73" s="3">
        <v>-1</v>
      </c>
      <c r="C73" s="4">
        <v>0</v>
      </c>
      <c r="D73" s="4">
        <v>90</v>
      </c>
      <c r="E73" s="4">
        <v>30</v>
      </c>
      <c r="F73" s="3">
        <v>1.3428411802363232</v>
      </c>
      <c r="G73" s="15">
        <f>MultiReg!$T$39+MultiReg!$T$40*CorrRavg!C73</f>
        <v>1.1967680000000001</v>
      </c>
      <c r="I73" s="21" t="s">
        <v>108</v>
      </c>
    </row>
    <row r="74" spans="1:9" x14ac:dyDescent="0.25">
      <c r="B74" s="18">
        <v>1</v>
      </c>
      <c r="C74">
        <v>1.5</v>
      </c>
      <c r="D74">
        <v>100</v>
      </c>
      <c r="E74">
        <v>19.7</v>
      </c>
      <c r="F74">
        <v>0.85000000000000009</v>
      </c>
    </row>
    <row r="75" spans="1:9" x14ac:dyDescent="0.25">
      <c r="B75" s="18">
        <v>1</v>
      </c>
      <c r="C75">
        <v>6</v>
      </c>
      <c r="D75">
        <v>100</v>
      </c>
      <c r="E75">
        <v>20.7</v>
      </c>
      <c r="F75">
        <v>6.3</v>
      </c>
    </row>
    <row r="76" spans="1:9" x14ac:dyDescent="0.25">
      <c r="B76" s="18">
        <v>1</v>
      </c>
      <c r="C76">
        <v>125.3</v>
      </c>
      <c r="D76">
        <v>96.5</v>
      </c>
      <c r="E76">
        <v>25.8</v>
      </c>
      <c r="F76">
        <v>10.899999999999999</v>
      </c>
    </row>
    <row r="77" spans="1:9" x14ac:dyDescent="0.25">
      <c r="B77" s="18">
        <v>1</v>
      </c>
      <c r="C77">
        <v>422.1</v>
      </c>
      <c r="D77">
        <v>90</v>
      </c>
      <c r="E77">
        <v>27</v>
      </c>
      <c r="F77">
        <v>5.4</v>
      </c>
    </row>
    <row r="78" spans="1:9" x14ac:dyDescent="0.25">
      <c r="B78" s="18">
        <v>1</v>
      </c>
      <c r="C78">
        <v>11.9</v>
      </c>
      <c r="D78">
        <v>94</v>
      </c>
      <c r="E78">
        <v>17.100000000000001</v>
      </c>
      <c r="F78">
        <v>3.5</v>
      </c>
    </row>
    <row r="79" spans="1:9" x14ac:dyDescent="0.25">
      <c r="B79" s="18">
        <v>1</v>
      </c>
      <c r="C79">
        <v>12.4</v>
      </c>
      <c r="D79">
        <v>86</v>
      </c>
      <c r="E79">
        <v>25.8</v>
      </c>
      <c r="F79">
        <v>1.1000000000000001</v>
      </c>
    </row>
    <row r="80" spans="1:9" x14ac:dyDescent="0.25">
      <c r="B80" s="18">
        <v>1</v>
      </c>
      <c r="C80">
        <v>140.30000000000001</v>
      </c>
      <c r="D80">
        <v>94</v>
      </c>
      <c r="E80">
        <v>20.7</v>
      </c>
      <c r="F80">
        <v>4.4000000000000004</v>
      </c>
    </row>
    <row r="81" spans="2:6" x14ac:dyDescent="0.25">
      <c r="B81" s="18">
        <v>1</v>
      </c>
      <c r="C81">
        <v>2.7</v>
      </c>
      <c r="D81">
        <v>94</v>
      </c>
      <c r="E81">
        <v>21.6</v>
      </c>
      <c r="F81">
        <v>0.6</v>
      </c>
    </row>
    <row r="82" spans="2:6" x14ac:dyDescent="0.25">
      <c r="B82" s="18">
        <v>1</v>
      </c>
      <c r="C82">
        <v>2.2000000000000002</v>
      </c>
      <c r="D82">
        <v>94</v>
      </c>
      <c r="E82">
        <v>21.3</v>
      </c>
      <c r="F82">
        <v>0.7</v>
      </c>
    </row>
  </sheetData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82"/>
  <sheetViews>
    <sheetView topLeftCell="A61" workbookViewId="0">
      <selection activeCell="H80" sqref="H80"/>
    </sheetView>
  </sheetViews>
  <sheetFormatPr defaultRowHeight="14.4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10</v>
      </c>
      <c r="E1" s="1" t="s">
        <v>9</v>
      </c>
    </row>
    <row r="2" spans="1:5" x14ac:dyDescent="0.25">
      <c r="A2" s="3">
        <v>1</v>
      </c>
      <c r="B2" s="4">
        <v>50</v>
      </c>
      <c r="C2" s="4">
        <v>100</v>
      </c>
      <c r="D2" s="4">
        <v>17</v>
      </c>
      <c r="E2" s="3">
        <v>1.4951564114722418</v>
      </c>
    </row>
    <row r="3" spans="1:5" x14ac:dyDescent="0.25">
      <c r="A3" s="3">
        <v>1</v>
      </c>
      <c r="B3" s="4">
        <v>50</v>
      </c>
      <c r="C3" s="4">
        <v>100</v>
      </c>
      <c r="D3" s="4">
        <v>25</v>
      </c>
      <c r="E3" s="3">
        <v>1.6256022247097128</v>
      </c>
    </row>
    <row r="4" spans="1:5" x14ac:dyDescent="0.25">
      <c r="A4" s="3">
        <v>1</v>
      </c>
      <c r="B4" s="4">
        <v>50</v>
      </c>
      <c r="C4" s="4">
        <v>100</v>
      </c>
      <c r="D4" s="4">
        <v>30</v>
      </c>
      <c r="E4" s="3">
        <v>1.5603792131930609</v>
      </c>
    </row>
    <row r="5" spans="1:5" x14ac:dyDescent="0.25">
      <c r="A5" s="3">
        <v>1</v>
      </c>
      <c r="B5" s="4">
        <v>25</v>
      </c>
      <c r="C5" s="4">
        <v>100</v>
      </c>
      <c r="D5" s="4">
        <v>17</v>
      </c>
      <c r="E5" s="3">
        <v>1.5967191434455525</v>
      </c>
    </row>
    <row r="6" spans="1:5" x14ac:dyDescent="0.25">
      <c r="A6" s="3">
        <v>1</v>
      </c>
      <c r="B6" s="4">
        <v>25</v>
      </c>
      <c r="C6" s="4">
        <v>100</v>
      </c>
      <c r="D6" s="4">
        <v>25</v>
      </c>
      <c r="E6" s="3">
        <v>1.6175301225929515</v>
      </c>
    </row>
    <row r="7" spans="1:5" x14ac:dyDescent="0.25">
      <c r="A7" s="3">
        <v>1</v>
      </c>
      <c r="B7" s="4">
        <v>25</v>
      </c>
      <c r="C7" s="4">
        <v>100</v>
      </c>
      <c r="D7" s="4">
        <v>30</v>
      </c>
      <c r="E7" s="3">
        <v>1.2519677054411074</v>
      </c>
    </row>
    <row r="8" spans="1:5" x14ac:dyDescent="0.25">
      <c r="A8" s="3">
        <v>1</v>
      </c>
      <c r="B8" s="4">
        <v>15</v>
      </c>
      <c r="C8" s="4">
        <v>100</v>
      </c>
      <c r="D8" s="4">
        <v>17</v>
      </c>
      <c r="E8" s="3">
        <v>1.0415096296228017</v>
      </c>
    </row>
    <row r="9" spans="1:5" x14ac:dyDescent="0.25">
      <c r="A9" s="3">
        <v>1</v>
      </c>
      <c r="B9" s="4">
        <v>15</v>
      </c>
      <c r="C9" s="4">
        <v>100</v>
      </c>
      <c r="D9" s="4">
        <v>25</v>
      </c>
      <c r="E9" s="3">
        <v>1.329941534309081</v>
      </c>
    </row>
    <row r="10" spans="1:5" x14ac:dyDescent="0.25">
      <c r="A10" s="3">
        <v>1</v>
      </c>
      <c r="B10" s="4">
        <v>15</v>
      </c>
      <c r="C10" s="4">
        <v>100</v>
      </c>
      <c r="D10" s="4">
        <v>30</v>
      </c>
      <c r="E10" s="3">
        <v>1.5660008299004491</v>
      </c>
    </row>
    <row r="11" spans="1:5" x14ac:dyDescent="0.25">
      <c r="A11" s="3">
        <v>1</v>
      </c>
      <c r="B11" s="4">
        <v>10</v>
      </c>
      <c r="C11" s="4">
        <v>100</v>
      </c>
      <c r="D11" s="4">
        <v>17</v>
      </c>
      <c r="E11" s="3">
        <v>1.3981551606864167</v>
      </c>
    </row>
    <row r="12" spans="1:5" x14ac:dyDescent="0.25">
      <c r="A12" s="3">
        <v>1</v>
      </c>
      <c r="B12" s="4">
        <v>10</v>
      </c>
      <c r="C12" s="4">
        <v>100</v>
      </c>
      <c r="D12" s="4">
        <v>25</v>
      </c>
      <c r="E12" s="3">
        <v>1.0207994571220553</v>
      </c>
    </row>
    <row r="13" spans="1:5" x14ac:dyDescent="0.25">
      <c r="A13" s="3">
        <v>1</v>
      </c>
      <c r="B13" s="4">
        <v>10</v>
      </c>
      <c r="C13" s="4">
        <v>100</v>
      </c>
      <c r="D13" s="4">
        <v>30</v>
      </c>
      <c r="E13" s="3">
        <v>1.4019870621779329</v>
      </c>
    </row>
    <row r="14" spans="1:5" x14ac:dyDescent="0.25">
      <c r="A14" s="3">
        <v>1</v>
      </c>
      <c r="B14" s="4">
        <v>5</v>
      </c>
      <c r="C14" s="4">
        <v>100</v>
      </c>
      <c r="D14" s="4">
        <v>17</v>
      </c>
      <c r="E14" s="3">
        <v>1.1434045919062215</v>
      </c>
    </row>
    <row r="15" spans="1:5" x14ac:dyDescent="0.25">
      <c r="A15" s="3">
        <v>1</v>
      </c>
      <c r="B15" s="4">
        <v>5</v>
      </c>
      <c r="C15" s="4">
        <v>100</v>
      </c>
      <c r="D15" s="4">
        <v>25</v>
      </c>
      <c r="E15" s="3">
        <v>0.84012622513421564</v>
      </c>
    </row>
    <row r="16" spans="1:5" x14ac:dyDescent="0.25">
      <c r="A16" s="3">
        <v>1</v>
      </c>
      <c r="B16" s="4">
        <v>5</v>
      </c>
      <c r="C16" s="4">
        <v>100</v>
      </c>
      <c r="D16" s="4">
        <v>30</v>
      </c>
      <c r="E16" s="3">
        <v>0.70524862630350782</v>
      </c>
    </row>
    <row r="17" spans="1:5" x14ac:dyDescent="0.25">
      <c r="A17" s="3">
        <v>1</v>
      </c>
      <c r="B17" s="4">
        <v>0</v>
      </c>
      <c r="C17" s="4">
        <v>100</v>
      </c>
      <c r="D17" s="4">
        <v>17</v>
      </c>
      <c r="E17" s="3">
        <v>0.5700497228926924</v>
      </c>
    </row>
    <row r="18" spans="1:5" x14ac:dyDescent="0.25">
      <c r="A18" s="3">
        <v>1</v>
      </c>
      <c r="B18" s="4">
        <v>0</v>
      </c>
      <c r="C18" s="4">
        <v>100</v>
      </c>
      <c r="D18" s="4">
        <v>25</v>
      </c>
      <c r="E18" s="3">
        <v>0.82661676212181745</v>
      </c>
    </row>
    <row r="19" spans="1:5" x14ac:dyDescent="0.25">
      <c r="A19" s="3">
        <v>1</v>
      </c>
      <c r="B19" s="4">
        <v>0</v>
      </c>
      <c r="C19" s="4">
        <v>100</v>
      </c>
      <c r="D19" s="4">
        <v>30</v>
      </c>
      <c r="E19" s="3">
        <v>0.90713349509606644</v>
      </c>
    </row>
    <row r="20" spans="1:5" x14ac:dyDescent="0.25">
      <c r="A20" s="3">
        <v>1</v>
      </c>
      <c r="B20" s="4">
        <v>50</v>
      </c>
      <c r="C20" s="4">
        <v>90</v>
      </c>
      <c r="D20" s="4">
        <v>17</v>
      </c>
      <c r="E20" s="3">
        <v>1.2991629784774201</v>
      </c>
    </row>
    <row r="21" spans="1:5" x14ac:dyDescent="0.25">
      <c r="A21" s="3">
        <v>1</v>
      </c>
      <c r="B21" s="4">
        <v>50</v>
      </c>
      <c r="C21" s="4">
        <v>90</v>
      </c>
      <c r="D21" s="4">
        <v>25</v>
      </c>
      <c r="E21" s="3">
        <v>1.0391822168993909</v>
      </c>
    </row>
    <row r="22" spans="1:5" x14ac:dyDescent="0.25">
      <c r="A22" s="3">
        <v>1</v>
      </c>
      <c r="B22" s="4">
        <v>50</v>
      </c>
      <c r="C22" s="4">
        <v>90</v>
      </c>
      <c r="D22" s="4">
        <v>30</v>
      </c>
      <c r="E22" s="3">
        <v>1.0640318110809481</v>
      </c>
    </row>
    <row r="23" spans="1:5" x14ac:dyDescent="0.25">
      <c r="A23" s="3">
        <v>1</v>
      </c>
      <c r="B23" s="4">
        <v>25</v>
      </c>
      <c r="C23" s="4">
        <v>90</v>
      </c>
      <c r="D23" s="4">
        <v>17</v>
      </c>
      <c r="E23" s="3">
        <v>1.5005227362337843</v>
      </c>
    </row>
    <row r="24" spans="1:5" x14ac:dyDescent="0.25">
      <c r="A24" s="3">
        <v>1</v>
      </c>
      <c r="B24" s="4">
        <v>25</v>
      </c>
      <c r="C24" s="4">
        <v>90</v>
      </c>
      <c r="D24" s="4">
        <v>25</v>
      </c>
      <c r="E24" s="3">
        <v>0.64470129360374395</v>
      </c>
    </row>
    <row r="25" spans="1:5" x14ac:dyDescent="0.25">
      <c r="A25" s="3">
        <v>1</v>
      </c>
      <c r="B25" s="4">
        <v>25</v>
      </c>
      <c r="C25" s="4">
        <v>90</v>
      </c>
      <c r="D25" s="4">
        <v>30</v>
      </c>
      <c r="E25" s="3">
        <v>1.4548277924871202</v>
      </c>
    </row>
    <row r="26" spans="1:5" x14ac:dyDescent="0.25">
      <c r="A26" s="3">
        <v>1</v>
      </c>
      <c r="B26" s="4">
        <v>15</v>
      </c>
      <c r="C26" s="4">
        <v>90</v>
      </c>
      <c r="D26" s="4">
        <v>17</v>
      </c>
      <c r="E26" s="3">
        <v>0.58618824005664039</v>
      </c>
    </row>
    <row r="27" spans="1:5" x14ac:dyDescent="0.25">
      <c r="A27" s="3">
        <v>1</v>
      </c>
      <c r="B27" s="4">
        <v>15</v>
      </c>
      <c r="C27" s="4">
        <v>90</v>
      </c>
      <c r="D27" s="4">
        <v>25</v>
      </c>
      <c r="E27" s="3">
        <v>0.88366086342247452</v>
      </c>
    </row>
    <row r="28" spans="1:5" x14ac:dyDescent="0.25">
      <c r="A28" s="3">
        <v>1</v>
      </c>
      <c r="B28" s="4">
        <v>15</v>
      </c>
      <c r="C28" s="4">
        <v>90</v>
      </c>
      <c r="D28" s="4">
        <v>30</v>
      </c>
      <c r="E28" s="3">
        <v>0.87068996277145272</v>
      </c>
    </row>
    <row r="29" spans="1:5" x14ac:dyDescent="0.25">
      <c r="A29" s="3">
        <v>1</v>
      </c>
      <c r="B29" s="4">
        <v>10</v>
      </c>
      <c r="C29" s="4">
        <v>90</v>
      </c>
      <c r="D29" s="4">
        <v>17</v>
      </c>
      <c r="E29" s="3">
        <v>1.0420788245442298</v>
      </c>
    </row>
    <row r="30" spans="1:5" x14ac:dyDescent="0.25">
      <c r="A30" s="3">
        <v>1</v>
      </c>
      <c r="B30" s="4">
        <v>10</v>
      </c>
      <c r="C30" s="4">
        <v>90</v>
      </c>
      <c r="D30" s="4">
        <v>25</v>
      </c>
      <c r="E30" s="3">
        <v>0.94439401909988319</v>
      </c>
    </row>
    <row r="31" spans="1:5" x14ac:dyDescent="0.25">
      <c r="A31" s="3">
        <v>1</v>
      </c>
      <c r="B31" s="4">
        <v>10</v>
      </c>
      <c r="C31" s="4">
        <v>90</v>
      </c>
      <c r="D31" s="4">
        <v>30</v>
      </c>
      <c r="E31" s="3">
        <v>0.97205592432898746</v>
      </c>
    </row>
    <row r="32" spans="1:5" x14ac:dyDescent="0.25">
      <c r="A32" s="3">
        <v>1</v>
      </c>
      <c r="B32" s="4">
        <v>5</v>
      </c>
      <c r="C32" s="4">
        <v>90</v>
      </c>
      <c r="D32" s="4">
        <v>17</v>
      </c>
      <c r="E32" s="3">
        <v>0.65088822705975802</v>
      </c>
    </row>
    <row r="33" spans="1:5" x14ac:dyDescent="0.25">
      <c r="A33" s="3">
        <v>1</v>
      </c>
      <c r="B33" s="4">
        <v>5</v>
      </c>
      <c r="C33" s="4">
        <v>90</v>
      </c>
      <c r="D33" s="4">
        <v>25</v>
      </c>
      <c r="E33" s="3">
        <v>0.85667526883113077</v>
      </c>
    </row>
    <row r="34" spans="1:5" x14ac:dyDescent="0.25">
      <c r="A34" s="3">
        <v>1</v>
      </c>
      <c r="B34" s="4">
        <v>5</v>
      </c>
      <c r="C34" s="4">
        <v>90</v>
      </c>
      <c r="D34" s="4">
        <v>30</v>
      </c>
      <c r="E34" s="3">
        <v>0.46665137254901956</v>
      </c>
    </row>
    <row r="35" spans="1:5" x14ac:dyDescent="0.25">
      <c r="A35" s="3">
        <v>1</v>
      </c>
      <c r="B35" s="4">
        <v>0</v>
      </c>
      <c r="C35" s="4">
        <v>90</v>
      </c>
      <c r="D35" s="4">
        <v>17</v>
      </c>
      <c r="E35" s="3">
        <v>0.58835769883386702</v>
      </c>
    </row>
    <row r="36" spans="1:5" x14ac:dyDescent="0.25">
      <c r="A36" s="3">
        <v>1</v>
      </c>
      <c r="B36" s="4">
        <v>0</v>
      </c>
      <c r="C36" s="4">
        <v>90</v>
      </c>
      <c r="D36" s="4">
        <v>25</v>
      </c>
      <c r="E36" s="3">
        <v>0.72152910906739365</v>
      </c>
    </row>
    <row r="37" spans="1:5" x14ac:dyDescent="0.25">
      <c r="A37" s="3">
        <v>1</v>
      </c>
      <c r="B37" s="4">
        <v>0</v>
      </c>
      <c r="C37" s="4">
        <v>90</v>
      </c>
      <c r="D37" s="4">
        <v>30</v>
      </c>
      <c r="E37" s="3">
        <v>1.0689749177046481</v>
      </c>
    </row>
    <row r="38" spans="1:5" x14ac:dyDescent="0.25">
      <c r="A38" s="3">
        <v>-1</v>
      </c>
      <c r="B38" s="4">
        <v>50</v>
      </c>
      <c r="C38" s="4">
        <v>100</v>
      </c>
      <c r="D38" s="4">
        <v>17</v>
      </c>
      <c r="E38" s="3">
        <v>3.7563795728216371</v>
      </c>
    </row>
    <row r="39" spans="1:5" x14ac:dyDescent="0.25">
      <c r="A39" s="3">
        <v>-1</v>
      </c>
      <c r="B39" s="4">
        <v>50</v>
      </c>
      <c r="C39" s="4">
        <v>100</v>
      </c>
      <c r="D39" s="4">
        <v>25</v>
      </c>
      <c r="E39" s="3">
        <v>3.9201194074340142</v>
      </c>
    </row>
    <row r="40" spans="1:5" x14ac:dyDescent="0.25">
      <c r="A40" s="3">
        <v>-1</v>
      </c>
      <c r="B40" s="4">
        <v>50</v>
      </c>
      <c r="C40" s="4">
        <v>100</v>
      </c>
      <c r="D40" s="4">
        <v>30</v>
      </c>
      <c r="E40" s="3">
        <v>2.3598615686274504</v>
      </c>
    </row>
    <row r="41" spans="1:5" x14ac:dyDescent="0.25">
      <c r="A41" s="3">
        <v>-1</v>
      </c>
      <c r="B41" s="4">
        <v>25</v>
      </c>
      <c r="C41" s="4">
        <v>100</v>
      </c>
      <c r="D41" s="4">
        <v>17</v>
      </c>
      <c r="E41" s="3">
        <v>2.0725688941923157</v>
      </c>
    </row>
    <row r="42" spans="1:5" x14ac:dyDescent="0.25">
      <c r="A42" s="3">
        <v>-1</v>
      </c>
      <c r="B42" s="4">
        <v>25</v>
      </c>
      <c r="C42" s="4">
        <v>100</v>
      </c>
      <c r="D42" s="4">
        <v>25</v>
      </c>
      <c r="E42" s="3">
        <v>2.6820770504879485</v>
      </c>
    </row>
    <row r="43" spans="1:5" x14ac:dyDescent="0.25">
      <c r="A43" s="3">
        <v>-1</v>
      </c>
      <c r="B43" s="4">
        <v>25</v>
      </c>
      <c r="C43" s="4">
        <v>100</v>
      </c>
      <c r="D43" s="4">
        <v>30</v>
      </c>
      <c r="E43" s="3">
        <v>3.0094200756984786</v>
      </c>
    </row>
    <row r="44" spans="1:5" x14ac:dyDescent="0.25">
      <c r="A44" s="3">
        <v>-1</v>
      </c>
      <c r="B44" s="4">
        <v>15</v>
      </c>
      <c r="C44" s="4">
        <v>100</v>
      </c>
      <c r="D44" s="4">
        <v>17</v>
      </c>
      <c r="E44" s="3">
        <v>1.8768141125498954</v>
      </c>
    </row>
    <row r="45" spans="1:5" x14ac:dyDescent="0.25">
      <c r="A45" s="3">
        <v>-1</v>
      </c>
      <c r="B45" s="4">
        <v>15</v>
      </c>
      <c r="C45" s="4">
        <v>100</v>
      </c>
      <c r="D45" s="4">
        <v>25</v>
      </c>
      <c r="E45" s="3">
        <v>2.2036007602988485</v>
      </c>
    </row>
    <row r="46" spans="1:5" x14ac:dyDescent="0.25">
      <c r="A46" s="3">
        <v>-1</v>
      </c>
      <c r="B46" s="4">
        <v>15</v>
      </c>
      <c r="C46" s="4">
        <v>100</v>
      </c>
      <c r="D46" s="4">
        <v>30</v>
      </c>
      <c r="E46" s="3">
        <v>0.5352209660539009</v>
      </c>
    </row>
    <row r="47" spans="1:5" x14ac:dyDescent="0.25">
      <c r="A47" s="3">
        <v>-1</v>
      </c>
      <c r="B47" s="4">
        <v>10</v>
      </c>
      <c r="C47" s="4">
        <v>100</v>
      </c>
      <c r="D47" s="4">
        <v>17</v>
      </c>
      <c r="E47" s="3">
        <v>1.5257981130059446</v>
      </c>
    </row>
    <row r="48" spans="1:5" x14ac:dyDescent="0.25">
      <c r="A48" s="3">
        <v>-1</v>
      </c>
      <c r="B48" s="4">
        <v>10</v>
      </c>
      <c r="C48" s="4">
        <v>100</v>
      </c>
      <c r="D48" s="4">
        <v>25</v>
      </c>
      <c r="E48" s="3">
        <v>1.5178214010812767</v>
      </c>
    </row>
    <row r="49" spans="1:5" x14ac:dyDescent="0.25">
      <c r="A49" s="3">
        <v>-1</v>
      </c>
      <c r="B49" s="4">
        <v>10</v>
      </c>
      <c r="C49" s="4">
        <v>100</v>
      </c>
      <c r="D49" s="4">
        <v>30</v>
      </c>
      <c r="E49" s="3">
        <v>2.2313573621680218</v>
      </c>
    </row>
    <row r="50" spans="1:5" x14ac:dyDescent="0.25">
      <c r="A50" s="3">
        <v>-1</v>
      </c>
      <c r="B50" s="4">
        <v>5</v>
      </c>
      <c r="C50" s="4">
        <v>100</v>
      </c>
      <c r="D50" s="4">
        <v>17</v>
      </c>
      <c r="E50" s="3">
        <v>1.2520239261455526</v>
      </c>
    </row>
    <row r="51" spans="1:5" x14ac:dyDescent="0.25">
      <c r="A51" s="3">
        <v>-1</v>
      </c>
      <c r="B51" s="4">
        <v>5</v>
      </c>
      <c r="C51" s="4">
        <v>100</v>
      </c>
      <c r="D51" s="4">
        <v>25</v>
      </c>
      <c r="E51" s="3">
        <v>1.3068992782221878</v>
      </c>
    </row>
    <row r="52" spans="1:5" x14ac:dyDescent="0.25">
      <c r="A52" s="3">
        <v>-1</v>
      </c>
      <c r="B52" s="4">
        <v>5</v>
      </c>
      <c r="C52" s="4">
        <v>100</v>
      </c>
      <c r="D52" s="4">
        <v>30</v>
      </c>
      <c r="E52" s="3">
        <v>1.9465389596709888</v>
      </c>
    </row>
    <row r="53" spans="1:5" x14ac:dyDescent="0.25">
      <c r="A53" s="3">
        <v>-1</v>
      </c>
      <c r="B53" s="4">
        <v>0</v>
      </c>
      <c r="C53" s="4">
        <v>100</v>
      </c>
      <c r="D53" s="4">
        <v>17</v>
      </c>
      <c r="E53" s="3">
        <v>0.53255058823529422</v>
      </c>
    </row>
    <row r="54" spans="1:5" x14ac:dyDescent="0.25">
      <c r="A54" s="3">
        <v>-1</v>
      </c>
      <c r="B54" s="4">
        <v>0</v>
      </c>
      <c r="C54" s="4">
        <v>100</v>
      </c>
      <c r="D54" s="4">
        <v>25</v>
      </c>
      <c r="E54" s="3">
        <v>0.63018438209418681</v>
      </c>
    </row>
    <row r="55" spans="1:5" x14ac:dyDescent="0.25">
      <c r="A55" s="3">
        <v>-1</v>
      </c>
      <c r="B55" s="4">
        <v>0</v>
      </c>
      <c r="C55" s="4">
        <v>100</v>
      </c>
      <c r="D55" s="4">
        <v>30</v>
      </c>
      <c r="E55" s="3">
        <v>1.1458766801227607</v>
      </c>
    </row>
    <row r="56" spans="1:5" x14ac:dyDescent="0.25">
      <c r="A56" s="3">
        <v>-1</v>
      </c>
      <c r="B56" s="4">
        <v>50</v>
      </c>
      <c r="C56" s="4">
        <v>90</v>
      </c>
      <c r="D56" s="4">
        <v>17</v>
      </c>
      <c r="E56" s="3">
        <v>2.6279055932599023</v>
      </c>
    </row>
    <row r="57" spans="1:5" x14ac:dyDescent="0.25">
      <c r="A57" s="3">
        <v>-1</v>
      </c>
      <c r="B57" s="4">
        <v>50</v>
      </c>
      <c r="C57" s="4">
        <v>90</v>
      </c>
      <c r="D57" s="4">
        <v>25</v>
      </c>
      <c r="E57" s="3">
        <v>3.5750397097590687</v>
      </c>
    </row>
    <row r="58" spans="1:5" x14ac:dyDescent="0.25">
      <c r="A58" s="3">
        <v>-1</v>
      </c>
      <c r="B58" s="4">
        <v>50</v>
      </c>
      <c r="C58" s="4">
        <v>90</v>
      </c>
      <c r="D58" s="4">
        <v>30</v>
      </c>
      <c r="E58" s="3">
        <v>2.8437081200839076</v>
      </c>
    </row>
    <row r="59" spans="1:5" x14ac:dyDescent="0.25">
      <c r="A59" s="3">
        <v>-1</v>
      </c>
      <c r="B59" s="4">
        <v>25</v>
      </c>
      <c r="C59" s="4">
        <v>90</v>
      </c>
      <c r="D59" s="4">
        <v>17</v>
      </c>
      <c r="E59" s="3">
        <v>3.0713464791946015</v>
      </c>
    </row>
    <row r="60" spans="1:5" x14ac:dyDescent="0.25">
      <c r="A60" s="3">
        <v>-1</v>
      </c>
      <c r="B60" s="4">
        <v>25</v>
      </c>
      <c r="C60" s="4">
        <v>90</v>
      </c>
      <c r="D60" s="4">
        <v>25</v>
      </c>
      <c r="E60" s="3">
        <v>2.4915974509803922</v>
      </c>
    </row>
    <row r="61" spans="1:5" x14ac:dyDescent="0.25">
      <c r="A61" s="3">
        <v>-1</v>
      </c>
      <c r="B61" s="4">
        <v>25</v>
      </c>
      <c r="C61" s="4">
        <v>90</v>
      </c>
      <c r="D61" s="4">
        <v>30</v>
      </c>
      <c r="E61" s="3">
        <v>3.3221849890934925</v>
      </c>
    </row>
    <row r="62" spans="1:5" x14ac:dyDescent="0.25">
      <c r="A62" s="3">
        <v>-1</v>
      </c>
      <c r="B62" s="4">
        <v>15</v>
      </c>
      <c r="C62" s="4">
        <v>90</v>
      </c>
      <c r="D62" s="4">
        <v>17</v>
      </c>
      <c r="E62" s="3">
        <v>1.2561104992424437</v>
      </c>
    </row>
    <row r="63" spans="1:5" x14ac:dyDescent="0.25">
      <c r="A63" s="3">
        <v>-1</v>
      </c>
      <c r="B63" s="4">
        <v>15</v>
      </c>
      <c r="C63" s="4">
        <v>90</v>
      </c>
      <c r="D63" s="4">
        <v>25</v>
      </c>
      <c r="E63" s="3">
        <v>1.7209025681447656</v>
      </c>
    </row>
    <row r="64" spans="1:5" x14ac:dyDescent="0.25">
      <c r="A64" s="3">
        <v>-1</v>
      </c>
      <c r="B64" s="4">
        <v>15</v>
      </c>
      <c r="C64" s="4">
        <v>90</v>
      </c>
      <c r="D64" s="4">
        <v>30</v>
      </c>
      <c r="E64" s="3">
        <v>3.2997994060893774</v>
      </c>
    </row>
    <row r="65" spans="1:6" x14ac:dyDescent="0.25">
      <c r="A65" s="3">
        <v>-1</v>
      </c>
      <c r="B65" s="4">
        <v>10</v>
      </c>
      <c r="C65" s="4">
        <v>90</v>
      </c>
      <c r="D65" s="4">
        <v>17</v>
      </c>
      <c r="E65" s="3">
        <v>1.8219351841685956</v>
      </c>
    </row>
    <row r="66" spans="1:6" x14ac:dyDescent="0.25">
      <c r="A66" s="3">
        <v>-1</v>
      </c>
      <c r="B66" s="4">
        <v>10</v>
      </c>
      <c r="C66" s="4">
        <v>90</v>
      </c>
      <c r="D66" s="4">
        <v>25</v>
      </c>
      <c r="E66" s="3">
        <v>1.7800068579088575</v>
      </c>
    </row>
    <row r="67" spans="1:6" x14ac:dyDescent="0.25">
      <c r="A67" s="3">
        <v>-1</v>
      </c>
      <c r="B67" s="4">
        <v>10</v>
      </c>
      <c r="C67" s="4">
        <v>90</v>
      </c>
      <c r="D67" s="4">
        <v>30</v>
      </c>
      <c r="E67" s="3">
        <v>1.7188609862598438</v>
      </c>
    </row>
    <row r="68" spans="1:6" x14ac:dyDescent="0.25">
      <c r="A68" s="3">
        <v>-1</v>
      </c>
      <c r="B68" s="4">
        <v>5</v>
      </c>
      <c r="C68" s="4">
        <v>90</v>
      </c>
      <c r="D68" s="4">
        <v>17</v>
      </c>
      <c r="E68" s="3">
        <v>0.75294392156862722</v>
      </c>
    </row>
    <row r="69" spans="1:6" x14ac:dyDescent="0.25">
      <c r="A69" s="3">
        <v>-1</v>
      </c>
      <c r="B69" s="4">
        <v>5</v>
      </c>
      <c r="C69" s="4">
        <v>90</v>
      </c>
      <c r="D69" s="4">
        <v>25</v>
      </c>
      <c r="E69" s="3">
        <v>1.2055672703391616</v>
      </c>
    </row>
    <row r="70" spans="1:6" x14ac:dyDescent="0.25">
      <c r="A70" s="3">
        <v>-1</v>
      </c>
      <c r="B70" s="4">
        <v>5</v>
      </c>
      <c r="C70" s="4">
        <v>90</v>
      </c>
      <c r="D70" s="4">
        <v>30</v>
      </c>
      <c r="E70" s="3">
        <v>2.3635082296380867</v>
      </c>
    </row>
    <row r="71" spans="1:6" x14ac:dyDescent="0.25">
      <c r="A71" s="3">
        <v>-1</v>
      </c>
      <c r="B71" s="4">
        <v>0</v>
      </c>
      <c r="C71" s="4">
        <v>90</v>
      </c>
      <c r="D71" s="4">
        <v>17</v>
      </c>
      <c r="E71" s="3">
        <v>0.81704588235294096</v>
      </c>
    </row>
    <row r="72" spans="1:6" x14ac:dyDescent="0.25">
      <c r="A72" s="3">
        <v>-1</v>
      </c>
      <c r="B72" s="4">
        <v>0</v>
      </c>
      <c r="C72" s="4">
        <v>90</v>
      </c>
      <c r="D72" s="4">
        <v>25</v>
      </c>
      <c r="E72" s="3">
        <v>0.66332669402334354</v>
      </c>
    </row>
    <row r="73" spans="1:6" x14ac:dyDescent="0.25">
      <c r="A73" s="3">
        <v>-1</v>
      </c>
      <c r="B73" s="4">
        <v>0</v>
      </c>
      <c r="C73" s="4">
        <v>90</v>
      </c>
      <c r="D73" s="4">
        <v>30</v>
      </c>
      <c r="E73" s="3">
        <v>1.3428411802363232</v>
      </c>
      <c r="F73" t="s">
        <v>104</v>
      </c>
    </row>
    <row r="74" spans="1:6" x14ac:dyDescent="0.25">
      <c r="A74" s="18">
        <v>1</v>
      </c>
      <c r="B74">
        <v>1.5</v>
      </c>
      <c r="C74">
        <v>100</v>
      </c>
      <c r="D74">
        <v>19.7</v>
      </c>
      <c r="E74">
        <v>0.85000000000000009</v>
      </c>
    </row>
    <row r="75" spans="1:6" x14ac:dyDescent="0.25">
      <c r="A75" s="18">
        <v>1</v>
      </c>
      <c r="B75">
        <v>6</v>
      </c>
      <c r="C75">
        <v>100</v>
      </c>
      <c r="D75">
        <v>20.7</v>
      </c>
      <c r="E75">
        <v>6.3</v>
      </c>
    </row>
    <row r="76" spans="1:6" x14ac:dyDescent="0.25">
      <c r="A76" s="18">
        <v>1</v>
      </c>
      <c r="B76">
        <v>125.3</v>
      </c>
      <c r="C76">
        <v>96.5</v>
      </c>
      <c r="D76">
        <v>25.8</v>
      </c>
      <c r="E76">
        <v>10.899999999999999</v>
      </c>
    </row>
    <row r="77" spans="1:6" x14ac:dyDescent="0.25">
      <c r="A77" s="18">
        <v>1</v>
      </c>
      <c r="B77">
        <v>422.1</v>
      </c>
      <c r="C77">
        <v>90</v>
      </c>
      <c r="D77">
        <v>27</v>
      </c>
      <c r="E77">
        <v>5.4</v>
      </c>
    </row>
    <row r="78" spans="1:6" x14ac:dyDescent="0.25">
      <c r="A78" s="18">
        <v>1</v>
      </c>
      <c r="B78">
        <v>11.9</v>
      </c>
      <c r="C78">
        <v>94</v>
      </c>
      <c r="D78">
        <v>17.100000000000001</v>
      </c>
      <c r="E78">
        <v>3.5</v>
      </c>
    </row>
    <row r="79" spans="1:6" x14ac:dyDescent="0.25">
      <c r="A79" s="18">
        <v>1</v>
      </c>
      <c r="B79">
        <v>12.4</v>
      </c>
      <c r="C79">
        <v>86</v>
      </c>
      <c r="D79">
        <v>25.8</v>
      </c>
      <c r="E79">
        <v>1.1000000000000001</v>
      </c>
    </row>
    <row r="80" spans="1:6" x14ac:dyDescent="0.25">
      <c r="A80" s="18">
        <v>1</v>
      </c>
      <c r="B80">
        <v>140.30000000000001</v>
      </c>
      <c r="C80">
        <v>94</v>
      </c>
      <c r="D80">
        <v>20.7</v>
      </c>
      <c r="E80">
        <v>4.4000000000000004</v>
      </c>
    </row>
    <row r="81" spans="1:6" x14ac:dyDescent="0.25">
      <c r="A81" s="18">
        <v>1</v>
      </c>
      <c r="B81">
        <v>2.7</v>
      </c>
      <c r="C81">
        <v>94</v>
      </c>
      <c r="D81">
        <v>21.6</v>
      </c>
      <c r="E81">
        <v>0.6</v>
      </c>
    </row>
    <row r="82" spans="1:6" x14ac:dyDescent="0.25">
      <c r="A82" s="18">
        <v>1</v>
      </c>
      <c r="B82">
        <v>2.2000000000000002</v>
      </c>
      <c r="C82">
        <v>94</v>
      </c>
      <c r="D82">
        <v>21.3</v>
      </c>
      <c r="E82">
        <v>0.7</v>
      </c>
      <c r="F82" t="s">
        <v>105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topLeftCell="J1" workbookViewId="0">
      <selection activeCell="T24" sqref="T24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42"/>
  <sheetViews>
    <sheetView topLeftCell="G7" workbookViewId="0">
      <selection activeCell="K13" sqref="K13"/>
    </sheetView>
  </sheetViews>
  <sheetFormatPr defaultRowHeight="14.4" x14ac:dyDescent="0.25"/>
  <cols>
    <col min="1" max="1" width="15.44140625" bestFit="1" customWidth="1"/>
    <col min="4" max="4" width="12.5546875" bestFit="1" customWidth="1"/>
    <col min="5" max="5" width="13.6640625" bestFit="1" customWidth="1"/>
    <col min="6" max="6" width="14.44140625" bestFit="1" customWidth="1"/>
    <col min="7" max="7" width="16.6640625" bestFit="1" customWidth="1"/>
    <col min="8" max="8" width="16" bestFit="1" customWidth="1"/>
  </cols>
  <sheetData>
    <row r="1" spans="1:12" x14ac:dyDescent="0.25">
      <c r="A1" t="s">
        <v>12</v>
      </c>
      <c r="B1" t="s">
        <v>1</v>
      </c>
      <c r="C1" t="s">
        <v>2</v>
      </c>
      <c r="D1" t="s">
        <v>10</v>
      </c>
      <c r="E1" t="s">
        <v>17</v>
      </c>
      <c r="F1" t="s">
        <v>18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93</v>
      </c>
    </row>
    <row r="2" spans="1:12" x14ac:dyDescent="0.25">
      <c r="A2" t="s">
        <v>13</v>
      </c>
      <c r="B2">
        <v>1.5</v>
      </c>
      <c r="C2">
        <v>100</v>
      </c>
      <c r="D2">
        <v>19.7</v>
      </c>
      <c r="E2">
        <v>0.6</v>
      </c>
      <c r="F2">
        <v>1.1000000000000001</v>
      </c>
      <c r="G2" s="5">
        <v>0.73127485447707397</v>
      </c>
      <c r="H2" s="5">
        <v>0.80493660842478398</v>
      </c>
      <c r="I2" s="16">
        <f>1.03-0.45*1+0.0282*B2</f>
        <v>0.62230000000000008</v>
      </c>
      <c r="J2" s="16">
        <f>1.03-0.45*(-1)+0.0282*B2</f>
        <v>1.5223</v>
      </c>
      <c r="K2">
        <f>AVERAGE(E2:F2)</f>
        <v>0.85000000000000009</v>
      </c>
      <c r="L2" s="17">
        <v>1.2665339834731399</v>
      </c>
    </row>
    <row r="3" spans="1:12" x14ac:dyDescent="0.25">
      <c r="A3" t="s">
        <v>14</v>
      </c>
      <c r="B3">
        <v>6</v>
      </c>
      <c r="C3">
        <v>100</v>
      </c>
      <c r="D3">
        <v>20.7</v>
      </c>
      <c r="E3">
        <v>6.1</v>
      </c>
      <c r="F3">
        <v>6.5</v>
      </c>
      <c r="G3" s="5">
        <v>0.87527724106875204</v>
      </c>
      <c r="H3" s="5">
        <v>1.17817882947079</v>
      </c>
      <c r="I3" s="16">
        <f t="shared" ref="I3:I10" si="0">1.03-0.45*1+0.0282*B3</f>
        <v>0.74920000000000009</v>
      </c>
      <c r="J3" s="16">
        <f t="shared" ref="J3:J10" si="1">1.03-0.45*(-1)+0.0282*B3</f>
        <v>1.6492</v>
      </c>
      <c r="K3">
        <f t="shared" ref="K3:K5" si="2">AVERAGE(E3:F3)</f>
        <v>6.3</v>
      </c>
      <c r="L3" s="17">
        <v>1.2612849198323699</v>
      </c>
    </row>
    <row r="4" spans="1:12" x14ac:dyDescent="0.25">
      <c r="A4" t="s">
        <v>15</v>
      </c>
      <c r="B4">
        <v>125.3</v>
      </c>
      <c r="C4">
        <v>96.5</v>
      </c>
      <c r="D4">
        <v>25.8</v>
      </c>
      <c r="E4">
        <v>11.6</v>
      </c>
      <c r="F4">
        <v>10.199999999999999</v>
      </c>
      <c r="G4" s="5">
        <v>3.4009538623660802</v>
      </c>
      <c r="H4" s="5">
        <v>3.4566517226293301</v>
      </c>
      <c r="I4" s="16">
        <f t="shared" si="0"/>
        <v>4.1134599999999999</v>
      </c>
      <c r="J4" s="16">
        <f t="shared" si="1"/>
        <v>5.0134600000000002</v>
      </c>
      <c r="K4">
        <f t="shared" si="2"/>
        <v>10.899999999999999</v>
      </c>
      <c r="L4" s="17">
        <v>8.0270484914933409</v>
      </c>
    </row>
    <row r="5" spans="1:12" x14ac:dyDescent="0.25">
      <c r="A5" t="s">
        <v>16</v>
      </c>
      <c r="B5">
        <v>422.1</v>
      </c>
      <c r="C5">
        <v>90</v>
      </c>
      <c r="D5">
        <v>27</v>
      </c>
      <c r="E5">
        <v>5.3</v>
      </c>
      <c r="F5">
        <v>5.5</v>
      </c>
      <c r="G5" s="5">
        <v>3.4567331081764099</v>
      </c>
      <c r="H5" s="5">
        <v>3.4567343401585302</v>
      </c>
      <c r="I5" s="16">
        <f t="shared" si="0"/>
        <v>12.483220000000001</v>
      </c>
      <c r="J5" s="16">
        <f t="shared" si="1"/>
        <v>13.383220000000001</v>
      </c>
      <c r="K5">
        <f t="shared" si="2"/>
        <v>5.4</v>
      </c>
      <c r="L5" s="17">
        <v>4.44219658113236</v>
      </c>
    </row>
    <row r="6" spans="1:12" x14ac:dyDescent="0.25">
      <c r="A6" t="s">
        <v>88</v>
      </c>
      <c r="B6">
        <v>11.9</v>
      </c>
      <c r="C6">
        <v>94</v>
      </c>
      <c r="D6">
        <v>17.100000000000001</v>
      </c>
      <c r="G6" s="5">
        <v>1.1700031597106999</v>
      </c>
      <c r="H6" s="5">
        <v>1.8827919306158301</v>
      </c>
      <c r="I6" s="16">
        <f t="shared" si="0"/>
        <v>0.91558000000000006</v>
      </c>
      <c r="J6" s="16">
        <f t="shared" si="1"/>
        <v>1.81558</v>
      </c>
      <c r="K6">
        <v>3.5</v>
      </c>
      <c r="L6" s="17">
        <v>1.28889719359275</v>
      </c>
    </row>
    <row r="7" spans="1:12" x14ac:dyDescent="0.25">
      <c r="A7" t="s">
        <v>89</v>
      </c>
      <c r="B7">
        <v>12.4</v>
      </c>
      <c r="C7">
        <v>86</v>
      </c>
      <c r="D7">
        <v>25.8</v>
      </c>
      <c r="G7" s="5">
        <v>1.0196957918654499</v>
      </c>
      <c r="H7" s="5">
        <v>1.7373899093834999</v>
      </c>
      <c r="I7" s="16">
        <f t="shared" si="0"/>
        <v>0.92968000000000006</v>
      </c>
      <c r="J7" s="16">
        <f t="shared" si="1"/>
        <v>1.82968</v>
      </c>
      <c r="K7">
        <v>1.1000000000000001</v>
      </c>
      <c r="L7" s="17">
        <v>1.18512757811662</v>
      </c>
    </row>
    <row r="8" spans="1:12" x14ac:dyDescent="0.25">
      <c r="A8" t="s">
        <v>90</v>
      </c>
      <c r="B8">
        <v>140.30000000000001</v>
      </c>
      <c r="C8">
        <v>94</v>
      </c>
      <c r="D8">
        <v>20.7</v>
      </c>
      <c r="G8" s="5">
        <v>3.4368460040890199</v>
      </c>
      <c r="H8" s="5">
        <v>3.4567325508385198</v>
      </c>
      <c r="I8" s="16">
        <f t="shared" si="0"/>
        <v>4.5364599999999999</v>
      </c>
      <c r="J8" s="16">
        <f t="shared" si="1"/>
        <v>5.4364600000000003</v>
      </c>
      <c r="K8">
        <v>4.4000000000000004</v>
      </c>
      <c r="L8" s="17">
        <v>6.0140158742398899</v>
      </c>
    </row>
    <row r="9" spans="1:12" x14ac:dyDescent="0.25">
      <c r="A9" t="s">
        <v>91</v>
      </c>
      <c r="B9">
        <v>2.7</v>
      </c>
      <c r="C9">
        <v>94</v>
      </c>
      <c r="D9">
        <v>21.6</v>
      </c>
      <c r="F9">
        <v>0.6</v>
      </c>
      <c r="G9" s="5">
        <v>0.82572505384945605</v>
      </c>
      <c r="H9" s="5">
        <v>0.94203339838377598</v>
      </c>
      <c r="I9" s="16">
        <f t="shared" si="0"/>
        <v>0.65614000000000006</v>
      </c>
      <c r="J9" s="16">
        <f t="shared" si="1"/>
        <v>1.5561400000000001</v>
      </c>
      <c r="K9">
        <v>0.6</v>
      </c>
      <c r="L9" s="17">
        <v>1.2318480992759899</v>
      </c>
    </row>
    <row r="10" spans="1:12" x14ac:dyDescent="0.25">
      <c r="A10" t="s">
        <v>92</v>
      </c>
      <c r="B10">
        <v>2.2000000000000002</v>
      </c>
      <c r="C10">
        <v>94</v>
      </c>
      <c r="D10">
        <v>21.3</v>
      </c>
      <c r="F10">
        <v>0.7</v>
      </c>
      <c r="G10" s="5">
        <v>0.80243201153621102</v>
      </c>
      <c r="H10" s="5">
        <v>0.84063497390113096</v>
      </c>
      <c r="I10" s="16">
        <f t="shared" si="0"/>
        <v>0.64204000000000006</v>
      </c>
      <c r="J10" s="16">
        <f t="shared" si="1"/>
        <v>1.5420400000000001</v>
      </c>
      <c r="K10">
        <v>0.7</v>
      </c>
      <c r="L10" s="17">
        <v>1.2341295278491</v>
      </c>
    </row>
    <row r="29" spans="1:1" x14ac:dyDescent="0.25">
      <c r="A29" t="s">
        <v>19</v>
      </c>
    </row>
    <row r="30" spans="1:1" x14ac:dyDescent="0.25">
      <c r="A30" t="s">
        <v>20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21" x14ac:dyDescent="0.25">
      <c r="A33" t="s">
        <v>23</v>
      </c>
    </row>
    <row r="42" spans="1:21" x14ac:dyDescent="0.25">
      <c r="M42">
        <v>1.2665339834731399</v>
      </c>
      <c r="N42">
        <v>1.2612849198323699</v>
      </c>
      <c r="O42">
        <v>8.0270484914933409</v>
      </c>
      <c r="P42">
        <v>4.44219658113236</v>
      </c>
      <c r="Q42">
        <v>1.28889719359275</v>
      </c>
      <c r="R42">
        <v>1.18512757811662</v>
      </c>
      <c r="S42">
        <v>6.0140158742398899</v>
      </c>
      <c r="T42">
        <v>1.2318480992759899</v>
      </c>
      <c r="U42">
        <v>1.2341295278491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F47"/>
  <sheetViews>
    <sheetView workbookViewId="0">
      <selection activeCell="N3" sqref="N3:S5"/>
    </sheetView>
  </sheetViews>
  <sheetFormatPr defaultRowHeight="14.4" x14ac:dyDescent="0.25"/>
  <cols>
    <col min="1" max="1" width="11.6640625" customWidth="1"/>
    <col min="2" max="2" width="9" bestFit="1" customWidth="1"/>
    <col min="4" max="4" width="9" customWidth="1"/>
    <col min="5" max="5" width="10.109375" customWidth="1"/>
  </cols>
  <sheetData>
    <row r="1" spans="1:27" x14ac:dyDescent="0.25">
      <c r="A1" t="s">
        <v>30</v>
      </c>
    </row>
    <row r="2" spans="1:27" x14ac:dyDescent="0.25">
      <c r="B2" t="s">
        <v>36</v>
      </c>
      <c r="C2" t="s">
        <v>37</v>
      </c>
      <c r="D2" t="s">
        <v>38</v>
      </c>
      <c r="E2" t="s">
        <v>39</v>
      </c>
      <c r="H2" t="s">
        <v>36</v>
      </c>
      <c r="I2" t="s">
        <v>37</v>
      </c>
      <c r="J2" t="s">
        <v>38</v>
      </c>
      <c r="K2" t="s">
        <v>39</v>
      </c>
      <c r="O2" t="s">
        <v>36</v>
      </c>
      <c r="P2" t="s">
        <v>37</v>
      </c>
      <c r="Q2" t="s">
        <v>38</v>
      </c>
      <c r="R2" t="s">
        <v>39</v>
      </c>
    </row>
    <row r="3" spans="1:27" x14ac:dyDescent="0.25">
      <c r="A3" t="s">
        <v>40</v>
      </c>
      <c r="B3">
        <v>-0.62661</v>
      </c>
      <c r="C3">
        <v>1.260699</v>
      </c>
      <c r="D3">
        <v>-0.497</v>
      </c>
      <c r="E3">
        <v>0.621</v>
      </c>
      <c r="G3" t="s">
        <v>40</v>
      </c>
      <c r="H3">
        <v>0.19936200000000001</v>
      </c>
      <c r="I3">
        <v>0.30865199999999998</v>
      </c>
      <c r="J3">
        <v>0.64600000000000002</v>
      </c>
      <c r="K3">
        <v>0.52100000000000002</v>
      </c>
      <c r="N3" t="s">
        <v>40</v>
      </c>
      <c r="O3">
        <v>0.57703700000000002</v>
      </c>
      <c r="P3">
        <v>0.113787</v>
      </c>
      <c r="Q3">
        <v>5.0709999999999997</v>
      </c>
      <c r="R3" s="8">
        <v>3.18E-6</v>
      </c>
      <c r="S3" t="s">
        <v>41</v>
      </c>
    </row>
    <row r="4" spans="1:27" x14ac:dyDescent="0.25">
      <c r="A4" t="s">
        <v>0</v>
      </c>
      <c r="B4">
        <v>0.906389</v>
      </c>
      <c r="C4">
        <v>0.128634</v>
      </c>
      <c r="D4">
        <v>7.0460000000000003</v>
      </c>
      <c r="E4" s="8">
        <v>1.25E-9</v>
      </c>
      <c r="F4" t="s">
        <v>41</v>
      </c>
      <c r="G4" t="s">
        <v>0</v>
      </c>
      <c r="H4">
        <v>0.906389</v>
      </c>
      <c r="I4">
        <v>0.12811900000000001</v>
      </c>
      <c r="J4">
        <v>7.0750000000000002</v>
      </c>
      <c r="K4" s="8">
        <v>1.0399999999999999E-9</v>
      </c>
      <c r="L4" t="s">
        <v>41</v>
      </c>
      <c r="N4" t="s">
        <v>0</v>
      </c>
      <c r="O4">
        <v>0.906389</v>
      </c>
      <c r="P4">
        <v>0.12879499999999999</v>
      </c>
      <c r="Q4">
        <v>7.0369999999999999</v>
      </c>
      <c r="R4" s="8">
        <v>1.14E-9</v>
      </c>
      <c r="S4" t="s">
        <v>41</v>
      </c>
    </row>
    <row r="5" spans="1:27" x14ac:dyDescent="0.25">
      <c r="A5" t="s">
        <v>1</v>
      </c>
      <c r="B5">
        <v>2.8233000000000001E-2</v>
      </c>
      <c r="C5">
        <v>3.8930000000000002E-3</v>
      </c>
      <c r="D5">
        <v>7.2519999999999998</v>
      </c>
      <c r="E5" s="8">
        <v>5.3600000000000001E-10</v>
      </c>
      <c r="F5" t="s">
        <v>41</v>
      </c>
      <c r="G5" t="s">
        <v>1</v>
      </c>
      <c r="H5">
        <v>2.8233000000000001E-2</v>
      </c>
      <c r="I5">
        <v>3.8779999999999999E-3</v>
      </c>
      <c r="J5">
        <v>7.2809999999999997</v>
      </c>
      <c r="K5" s="8">
        <v>4.4099999999999998E-10</v>
      </c>
      <c r="L5" t="s">
        <v>41</v>
      </c>
      <c r="N5" t="s">
        <v>1</v>
      </c>
      <c r="O5">
        <v>2.8233000000000001E-2</v>
      </c>
      <c r="P5">
        <v>3.898E-3</v>
      </c>
      <c r="Q5">
        <v>7.2430000000000003</v>
      </c>
      <c r="R5" s="8">
        <v>4.8199999999999999E-10</v>
      </c>
      <c r="S5" t="s">
        <v>41</v>
      </c>
      <c r="AA5" s="8"/>
    </row>
    <row r="6" spans="1:27" x14ac:dyDescent="0.25">
      <c r="A6" t="s">
        <v>2</v>
      </c>
      <c r="B6">
        <v>8.6940000000000003E-3</v>
      </c>
      <c r="C6">
        <v>1.2862999999999999E-2</v>
      </c>
      <c r="D6">
        <v>0.67600000000000005</v>
      </c>
      <c r="E6">
        <v>0.501</v>
      </c>
      <c r="G6" t="s">
        <v>3</v>
      </c>
      <c r="H6">
        <v>1.5736E-2</v>
      </c>
      <c r="I6">
        <v>1.1964000000000001E-2</v>
      </c>
      <c r="J6">
        <v>1.3149999999999999</v>
      </c>
      <c r="K6" s="8">
        <v>0.193</v>
      </c>
      <c r="S6" s="8"/>
      <c r="AA6" s="8"/>
    </row>
    <row r="7" spans="1:27" x14ac:dyDescent="0.25">
      <c r="A7" t="s">
        <v>3</v>
      </c>
      <c r="B7">
        <v>1.5736E-2</v>
      </c>
      <c r="C7">
        <v>1.2012999999999999E-2</v>
      </c>
      <c r="D7">
        <v>1.31</v>
      </c>
      <c r="E7">
        <v>0.19500000000000001</v>
      </c>
    </row>
    <row r="8" spans="1:27" x14ac:dyDescent="0.25">
      <c r="A8" t="s">
        <v>31</v>
      </c>
    </row>
    <row r="9" spans="1:27" x14ac:dyDescent="0.25">
      <c r="A9" t="s">
        <v>32</v>
      </c>
    </row>
    <row r="11" spans="1:27" x14ac:dyDescent="0.25">
      <c r="A11" t="s">
        <v>33</v>
      </c>
    </row>
    <row r="12" spans="1:27" x14ac:dyDescent="0.25">
      <c r="A12" t="s">
        <v>34</v>
      </c>
    </row>
    <row r="13" spans="1:27" x14ac:dyDescent="0.25">
      <c r="A13" t="s">
        <v>35</v>
      </c>
    </row>
    <row r="15" spans="1:27" x14ac:dyDescent="0.25">
      <c r="A15" s="10" t="s">
        <v>42</v>
      </c>
    </row>
    <row r="17" spans="1:13" x14ac:dyDescent="0.25">
      <c r="A17" t="s">
        <v>43</v>
      </c>
      <c r="H17" t="s">
        <v>43</v>
      </c>
    </row>
    <row r="18" spans="1:13" x14ac:dyDescent="0.25">
      <c r="B18" t="s">
        <v>36</v>
      </c>
      <c r="C18" t="s">
        <v>37</v>
      </c>
      <c r="D18" t="s">
        <v>38</v>
      </c>
      <c r="E18" t="s">
        <v>39</v>
      </c>
      <c r="I18" t="s">
        <v>36</v>
      </c>
      <c r="J18" t="s">
        <v>37</v>
      </c>
      <c r="K18" t="s">
        <v>38</v>
      </c>
      <c r="L18" t="s">
        <v>39</v>
      </c>
    </row>
    <row r="19" spans="1:13" x14ac:dyDescent="0.25">
      <c r="A19" t="s">
        <v>40</v>
      </c>
      <c r="B19" s="9">
        <v>-1.9613449999999999</v>
      </c>
      <c r="C19" s="9">
        <v>0.83427200000000001</v>
      </c>
      <c r="D19" s="9">
        <v>-2.351</v>
      </c>
      <c r="E19" s="9">
        <v>2.5049999999999999E-2</v>
      </c>
      <c r="F19" s="9" t="s">
        <v>47</v>
      </c>
      <c r="H19" t="s">
        <v>40</v>
      </c>
      <c r="I19" s="9">
        <v>-1.922973</v>
      </c>
      <c r="J19" s="9">
        <v>0.80020999999999998</v>
      </c>
      <c r="K19" s="9">
        <v>-2.403</v>
      </c>
      <c r="L19" s="9">
        <v>2.2040000000000001E-2</v>
      </c>
      <c r="M19" s="9" t="s">
        <v>47</v>
      </c>
    </row>
    <row r="20" spans="1:13" x14ac:dyDescent="0.25">
      <c r="A20" t="s">
        <v>1</v>
      </c>
      <c r="B20" s="9">
        <v>1.1852E-2</v>
      </c>
      <c r="C20" s="9">
        <v>2.5799999999999998E-3</v>
      </c>
      <c r="D20" s="9">
        <v>4.5940000000000003</v>
      </c>
      <c r="E20" s="11">
        <v>6.4300000000000004E-5</v>
      </c>
      <c r="F20" s="9" t="s">
        <v>41</v>
      </c>
      <c r="H20" t="s">
        <v>1</v>
      </c>
      <c r="I20" s="9">
        <v>1.1852E-2</v>
      </c>
      <c r="J20" s="9">
        <v>2.542E-3</v>
      </c>
      <c r="K20" s="9">
        <v>4.6630000000000003</v>
      </c>
      <c r="L20" s="11">
        <v>4.9700000000000002E-5</v>
      </c>
      <c r="M20" s="9" t="s">
        <v>41</v>
      </c>
    </row>
    <row r="21" spans="1:13" x14ac:dyDescent="0.25">
      <c r="A21" t="s">
        <v>2</v>
      </c>
      <c r="B21" s="9">
        <v>2.9333000000000001E-2</v>
      </c>
      <c r="C21" s="9">
        <v>8.5229999999999993E-3</v>
      </c>
      <c r="D21" s="9">
        <v>3.4409999999999998</v>
      </c>
      <c r="E21" s="9">
        <v>1.6299999999999999E-3</v>
      </c>
      <c r="F21" s="9" t="s">
        <v>48</v>
      </c>
      <c r="H21" t="s">
        <v>2</v>
      </c>
      <c r="I21" s="9">
        <v>2.9333000000000001E-2</v>
      </c>
      <c r="J21" s="9">
        <v>8.3990000000000002E-3</v>
      </c>
      <c r="K21" s="9">
        <v>3.4929999999999999</v>
      </c>
      <c r="L21" s="9">
        <v>1.3799999999999999E-3</v>
      </c>
      <c r="M21" s="9" t="s">
        <v>48</v>
      </c>
    </row>
    <row r="22" spans="1:13" x14ac:dyDescent="0.25">
      <c r="A22" t="s">
        <v>3</v>
      </c>
      <c r="B22" s="9">
        <v>1.5989999999999999E-3</v>
      </c>
      <c r="C22" s="9">
        <v>7.9600000000000001E-3</v>
      </c>
      <c r="D22" s="9">
        <v>0.20100000000000001</v>
      </c>
      <c r="E22" s="9">
        <v>0.84206999999999999</v>
      </c>
      <c r="F22" s="9"/>
      <c r="H22" t="s">
        <v>31</v>
      </c>
    </row>
    <row r="23" spans="1:13" x14ac:dyDescent="0.25">
      <c r="A23" t="s">
        <v>31</v>
      </c>
      <c r="H23" t="s">
        <v>32</v>
      </c>
    </row>
    <row r="24" spans="1:13" x14ac:dyDescent="0.25">
      <c r="A24" t="s">
        <v>32</v>
      </c>
    </row>
    <row r="26" spans="1:13" x14ac:dyDescent="0.25">
      <c r="A26" t="s">
        <v>44</v>
      </c>
      <c r="H26" t="s">
        <v>49</v>
      </c>
    </row>
    <row r="27" spans="1:13" x14ac:dyDescent="0.25">
      <c r="A27" t="s">
        <v>45</v>
      </c>
      <c r="H27" t="s">
        <v>50</v>
      </c>
    </row>
    <row r="28" spans="1:13" x14ac:dyDescent="0.25">
      <c r="A28" t="s">
        <v>46</v>
      </c>
      <c r="H28" t="s">
        <v>51</v>
      </c>
    </row>
    <row r="30" spans="1:13" x14ac:dyDescent="0.25">
      <c r="A30" s="10" t="s">
        <v>56</v>
      </c>
    </row>
    <row r="32" spans="1:13" x14ac:dyDescent="0.25">
      <c r="A32" t="s">
        <v>57</v>
      </c>
    </row>
    <row r="33" spans="1:32" x14ac:dyDescent="0.25">
      <c r="B33" t="s">
        <v>58</v>
      </c>
      <c r="C33" t="s">
        <v>59</v>
      </c>
      <c r="D33" t="s">
        <v>60</v>
      </c>
      <c r="E33" t="s">
        <v>61</v>
      </c>
      <c r="F33" t="s">
        <v>62</v>
      </c>
      <c r="J33" s="9" t="s">
        <v>57</v>
      </c>
      <c r="K33" s="9"/>
      <c r="L33" s="9"/>
      <c r="M33" s="9"/>
      <c r="N33" s="9"/>
      <c r="O33" s="9"/>
      <c r="P33" s="9"/>
      <c r="Q33" s="9"/>
      <c r="R33" s="9"/>
      <c r="S33" s="12" t="s">
        <v>57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x14ac:dyDescent="0.25">
      <c r="A34">
        <v>-1.4454899999999999</v>
      </c>
      <c r="B34">
        <v>-0.32406000000000001</v>
      </c>
      <c r="C34">
        <v>3.712E-2</v>
      </c>
      <c r="D34">
        <v>0.40096999999999999</v>
      </c>
      <c r="E34">
        <v>1.1950700000000001</v>
      </c>
      <c r="J34" s="9"/>
      <c r="K34" s="9" t="s">
        <v>58</v>
      </c>
      <c r="L34" s="9" t="s">
        <v>59</v>
      </c>
      <c r="M34" s="9" t="s">
        <v>60</v>
      </c>
      <c r="N34" s="9" t="s">
        <v>61</v>
      </c>
      <c r="O34" s="9" t="s">
        <v>62</v>
      </c>
      <c r="P34" s="9"/>
      <c r="Q34" s="9"/>
      <c r="R34" s="9"/>
      <c r="S34" s="12"/>
      <c r="T34" s="12" t="s">
        <v>58</v>
      </c>
      <c r="U34" s="12" t="s">
        <v>59</v>
      </c>
      <c r="V34" s="12" t="s">
        <v>60</v>
      </c>
      <c r="W34" s="12" t="s">
        <v>61</v>
      </c>
      <c r="X34" s="12" t="s">
        <v>62</v>
      </c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J35" s="9">
        <v>-1.5052099999999999</v>
      </c>
      <c r="K35" s="9">
        <v>-0.27899000000000002</v>
      </c>
      <c r="L35" s="9">
        <v>3.15E-3</v>
      </c>
      <c r="M35" s="9">
        <v>0.35975000000000001</v>
      </c>
      <c r="N35" s="9">
        <v>1.2547900000000001</v>
      </c>
      <c r="O35" s="9"/>
      <c r="P35" s="9"/>
      <c r="Q35" s="9"/>
      <c r="R35" s="9"/>
      <c r="S35" s="12">
        <v>-1.3259700000000001</v>
      </c>
      <c r="T35" s="12">
        <v>-0.41676999999999997</v>
      </c>
      <c r="U35" s="12">
        <v>-1.6369999999999999E-2</v>
      </c>
      <c r="V35" s="12">
        <v>0.34250000000000003</v>
      </c>
      <c r="W35" s="12">
        <v>1.4340299999999999</v>
      </c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t="s">
        <v>30</v>
      </c>
      <c r="B36" t="s">
        <v>63</v>
      </c>
      <c r="C36" t="s">
        <v>64</v>
      </c>
      <c r="D36" t="s">
        <v>65</v>
      </c>
      <c r="E36" t="s">
        <v>66</v>
      </c>
      <c r="F36" t="s">
        <v>67</v>
      </c>
      <c r="G36" t="s">
        <v>68</v>
      </c>
      <c r="J36" s="9"/>
      <c r="K36" s="9"/>
      <c r="L36" s="9"/>
      <c r="M36" s="9"/>
      <c r="N36" s="9"/>
      <c r="O36" s="9"/>
      <c r="P36" s="9"/>
      <c r="Q36" s="9"/>
      <c r="R36" s="9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B37" t="s">
        <v>36</v>
      </c>
      <c r="C37" t="s">
        <v>52</v>
      </c>
      <c r="D37" t="s">
        <v>53</v>
      </c>
      <c r="E37" t="s">
        <v>54</v>
      </c>
      <c r="F37" t="s">
        <v>55</v>
      </c>
      <c r="G37" t="s">
        <v>39</v>
      </c>
      <c r="J37" s="9" t="s">
        <v>30</v>
      </c>
      <c r="K37" s="9"/>
      <c r="L37" s="9"/>
      <c r="M37" s="9"/>
      <c r="N37" s="9"/>
      <c r="O37" s="9"/>
      <c r="P37" s="9"/>
      <c r="Q37" s="9"/>
      <c r="R37" s="9"/>
      <c r="S37" s="12" t="s">
        <v>30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 t="s">
        <v>40</v>
      </c>
      <c r="B38" s="9">
        <v>1.614514</v>
      </c>
      <c r="C38" s="9">
        <v>1.9483189999999999</v>
      </c>
      <c r="D38" s="9">
        <v>0.82899999999999996</v>
      </c>
      <c r="E38" s="9">
        <v>0.41299999999999998</v>
      </c>
      <c r="F38" s="9"/>
      <c r="J38" s="9"/>
      <c r="K38" s="9" t="s">
        <v>36</v>
      </c>
      <c r="L38" s="9" t="s">
        <v>52</v>
      </c>
      <c r="M38" s="9" t="s">
        <v>53</v>
      </c>
      <c r="N38" s="9" t="s">
        <v>54</v>
      </c>
      <c r="O38" s="9" t="s">
        <v>55</v>
      </c>
      <c r="P38" s="9" t="s">
        <v>39</v>
      </c>
      <c r="Q38" s="9"/>
      <c r="R38" s="9"/>
      <c r="S38" s="12"/>
      <c r="T38" s="12" t="s">
        <v>36</v>
      </c>
      <c r="U38" s="12" t="s">
        <v>52</v>
      </c>
      <c r="V38" s="12" t="s">
        <v>53</v>
      </c>
      <c r="W38" s="12" t="s">
        <v>54</v>
      </c>
      <c r="X38" s="12" t="s">
        <v>55</v>
      </c>
      <c r="Y38" s="12" t="s">
        <v>39</v>
      </c>
      <c r="Z38" s="12"/>
      <c r="AA38" s="12"/>
      <c r="AB38" s="12"/>
      <c r="AC38" s="12"/>
      <c r="AD38" s="12"/>
      <c r="AE38" s="12"/>
      <c r="AF38" s="12"/>
    </row>
    <row r="39" spans="1:32" x14ac:dyDescent="0.25">
      <c r="A39" t="s">
        <v>1</v>
      </c>
      <c r="B39" s="9">
        <v>4.4613E-2</v>
      </c>
      <c r="C39" s="9">
        <v>6.025E-3</v>
      </c>
      <c r="D39" s="9">
        <v>7.4050000000000002</v>
      </c>
      <c r="E39" s="11">
        <v>2E-8</v>
      </c>
      <c r="F39" s="9" t="s">
        <v>41</v>
      </c>
      <c r="J39" s="9" t="s">
        <v>40</v>
      </c>
      <c r="K39" s="9">
        <v>0.479792</v>
      </c>
      <c r="L39" s="9">
        <v>0.46452700000000002</v>
      </c>
      <c r="M39" s="9">
        <v>1.0329999999999999</v>
      </c>
      <c r="N39" s="9">
        <v>0.309</v>
      </c>
      <c r="O39" s="9"/>
      <c r="P39" s="9"/>
      <c r="Q39" s="9"/>
      <c r="R39" s="9"/>
      <c r="S39" s="12" t="s">
        <v>40</v>
      </c>
      <c r="T39" s="12">
        <v>1.1967680000000001</v>
      </c>
      <c r="U39" s="12">
        <v>0.146982</v>
      </c>
      <c r="V39" s="12">
        <v>8.1419999999999995</v>
      </c>
      <c r="W39" s="13">
        <v>1.6999999999999999E-9</v>
      </c>
      <c r="X39" s="12" t="s">
        <v>41</v>
      </c>
      <c r="Y39" s="12"/>
      <c r="Z39" s="12"/>
      <c r="AA39" s="12"/>
      <c r="AB39" s="12"/>
      <c r="AC39" s="12"/>
      <c r="AD39" s="12"/>
      <c r="AE39" s="12"/>
      <c r="AF39" s="12"/>
    </row>
    <row r="40" spans="1:32" x14ac:dyDescent="0.25">
      <c r="A40" t="s">
        <v>2</v>
      </c>
      <c r="B40" s="9">
        <v>-1.1944E-2</v>
      </c>
      <c r="C40" s="9">
        <v>1.9904999999999999E-2</v>
      </c>
      <c r="D40" s="9">
        <v>-0.6</v>
      </c>
      <c r="E40" s="9">
        <v>0.55300000000000005</v>
      </c>
      <c r="F40" s="9"/>
      <c r="J40" s="9" t="s">
        <v>1</v>
      </c>
      <c r="K40" s="9">
        <v>4.4613E-2</v>
      </c>
      <c r="L40" s="9">
        <v>5.9659999999999999E-3</v>
      </c>
      <c r="M40" s="9">
        <v>7.4779999999999998</v>
      </c>
      <c r="N40" s="11">
        <v>1.35E-8</v>
      </c>
      <c r="O40" s="9" t="s">
        <v>41</v>
      </c>
      <c r="P40" s="9"/>
      <c r="Q40" s="9"/>
      <c r="R40" s="9"/>
      <c r="S40" s="12" t="s">
        <v>1</v>
      </c>
      <c r="T40" s="12">
        <v>4.4613E-2</v>
      </c>
      <c r="U40" s="12">
        <v>6.1069999999999996E-3</v>
      </c>
      <c r="V40" s="12">
        <v>7.3049999999999997</v>
      </c>
      <c r="W40" s="13">
        <v>1.8399999999999999E-8</v>
      </c>
      <c r="X40" s="12" t="s">
        <v>41</v>
      </c>
      <c r="Y40" s="12"/>
      <c r="Z40" s="12"/>
      <c r="AA40" s="12"/>
      <c r="AB40" s="12"/>
      <c r="AC40" s="12"/>
      <c r="AD40" s="12"/>
      <c r="AE40" s="12"/>
      <c r="AF40" s="12"/>
    </row>
    <row r="41" spans="1:32" x14ac:dyDescent="0.25">
      <c r="A41" t="s">
        <v>3</v>
      </c>
      <c r="B41" s="9">
        <v>2.9874000000000001E-2</v>
      </c>
      <c r="C41" s="9">
        <v>1.8589000000000001E-2</v>
      </c>
      <c r="D41" s="9">
        <v>1.607</v>
      </c>
      <c r="E41" s="9">
        <v>0.11799999999999999</v>
      </c>
      <c r="F41" s="9"/>
      <c r="J41" s="9" t="s">
        <v>3</v>
      </c>
      <c r="K41" s="9">
        <v>2.9874000000000001E-2</v>
      </c>
      <c r="L41" s="9">
        <v>1.8408000000000001E-2</v>
      </c>
      <c r="M41" s="9">
        <v>1.623</v>
      </c>
      <c r="N41" s="9">
        <v>0.114</v>
      </c>
      <c r="O41" s="9"/>
      <c r="P41" s="9"/>
      <c r="Q41" s="9"/>
      <c r="R41" s="9"/>
      <c r="S41" s="12" t="s">
        <v>31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x14ac:dyDescent="0.25">
      <c r="A42" t="s">
        <v>31</v>
      </c>
      <c r="J42" s="9" t="s">
        <v>31</v>
      </c>
      <c r="K42" s="9"/>
      <c r="L42" s="9"/>
      <c r="M42" s="9"/>
      <c r="N42" s="9"/>
      <c r="O42" s="9"/>
      <c r="P42" s="9"/>
      <c r="Q42" s="9"/>
      <c r="R42" s="9"/>
      <c r="S42" t="s">
        <v>32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x14ac:dyDescent="0.25">
      <c r="A43" t="s">
        <v>32</v>
      </c>
      <c r="J43" t="s">
        <v>32</v>
      </c>
      <c r="K43" s="9"/>
      <c r="L43" s="9"/>
      <c r="M43" s="9"/>
      <c r="N43" s="9"/>
      <c r="O43" s="9"/>
      <c r="P43" s="9"/>
      <c r="Q43" s="9"/>
      <c r="R43" s="9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x14ac:dyDescent="0.25">
      <c r="J44" s="9"/>
      <c r="K44" s="9"/>
      <c r="L44" s="9"/>
      <c r="M44" s="9"/>
      <c r="N44" s="9"/>
      <c r="O44" s="9"/>
      <c r="P44" s="9"/>
      <c r="Q44" s="9"/>
      <c r="R44" s="9"/>
      <c r="S44" s="12" t="s">
        <v>69</v>
      </c>
      <c r="T44" s="12" t="s">
        <v>70</v>
      </c>
      <c r="U44" s="12" t="s">
        <v>71</v>
      </c>
      <c r="V44" s="12">
        <v>0.60540000000000005</v>
      </c>
      <c r="W44" s="12" t="s">
        <v>72</v>
      </c>
      <c r="X44" s="12">
        <v>34</v>
      </c>
      <c r="Y44" s="12" t="s">
        <v>73</v>
      </c>
      <c r="Z44" s="12" t="s">
        <v>67</v>
      </c>
      <c r="AA44" s="12" t="s">
        <v>74</v>
      </c>
      <c r="AB44" s="12"/>
      <c r="AC44" s="12"/>
      <c r="AD44" s="12"/>
      <c r="AE44" s="12"/>
      <c r="AF44" s="12"/>
    </row>
    <row r="45" spans="1:32" x14ac:dyDescent="0.25">
      <c r="A45" t="s">
        <v>69</v>
      </c>
      <c r="B45" t="s">
        <v>70</v>
      </c>
      <c r="C45" t="s">
        <v>71</v>
      </c>
      <c r="D45">
        <v>0.59719999999999995</v>
      </c>
      <c r="E45" t="s">
        <v>72</v>
      </c>
      <c r="F45">
        <v>32</v>
      </c>
      <c r="G45" t="s">
        <v>73</v>
      </c>
      <c r="H45" t="s">
        <v>67</v>
      </c>
      <c r="I45" t="s">
        <v>74</v>
      </c>
      <c r="J45" s="9" t="s">
        <v>69</v>
      </c>
      <c r="K45" s="9" t="s">
        <v>70</v>
      </c>
      <c r="L45" s="9" t="s">
        <v>71</v>
      </c>
      <c r="M45" s="9">
        <v>0.59130000000000005</v>
      </c>
      <c r="N45" s="9" t="s">
        <v>72</v>
      </c>
      <c r="O45" s="9">
        <v>33</v>
      </c>
      <c r="P45" s="9" t="s">
        <v>73</v>
      </c>
      <c r="Q45" s="9" t="s">
        <v>67</v>
      </c>
      <c r="R45" s="9" t="s">
        <v>74</v>
      </c>
      <c r="S45" s="12" t="s">
        <v>75</v>
      </c>
      <c r="T45" s="12" t="s">
        <v>76</v>
      </c>
      <c r="U45" s="12">
        <v>0.61080000000000001</v>
      </c>
      <c r="V45" s="12" t="s">
        <v>77</v>
      </c>
      <c r="W45" s="12" t="s">
        <v>76</v>
      </c>
      <c r="X45" s="12">
        <v>0.59940000000000004</v>
      </c>
      <c r="Y45" s="12"/>
      <c r="Z45" s="12"/>
      <c r="AA45" s="12"/>
      <c r="AB45" s="12"/>
      <c r="AC45" s="12"/>
      <c r="AD45" s="12"/>
      <c r="AE45" s="12"/>
      <c r="AF45" s="12"/>
    </row>
    <row r="46" spans="1:32" x14ac:dyDescent="0.25">
      <c r="A46" t="s">
        <v>75</v>
      </c>
      <c r="B46" t="s">
        <v>76</v>
      </c>
      <c r="C46">
        <v>0.64359999999999995</v>
      </c>
      <c r="D46" t="s">
        <v>77</v>
      </c>
      <c r="E46" t="s">
        <v>76</v>
      </c>
      <c r="F46">
        <v>0.61019999999999996</v>
      </c>
      <c r="J46" s="9" t="s">
        <v>75</v>
      </c>
      <c r="K46" s="9" t="s">
        <v>76</v>
      </c>
      <c r="L46" s="9">
        <v>0.63959999999999995</v>
      </c>
      <c r="M46" s="9" t="s">
        <v>77</v>
      </c>
      <c r="N46" s="9" t="s">
        <v>76</v>
      </c>
      <c r="O46" s="9">
        <v>0.61770000000000003</v>
      </c>
      <c r="P46" s="9"/>
      <c r="Q46" s="9"/>
      <c r="R46" s="9"/>
      <c r="S46" s="12" t="s">
        <v>78</v>
      </c>
      <c r="T46" s="12">
        <v>53.36</v>
      </c>
      <c r="U46" s="12" t="s">
        <v>72</v>
      </c>
      <c r="V46" s="12">
        <v>1</v>
      </c>
      <c r="W46" s="12" t="s">
        <v>79</v>
      </c>
      <c r="X46" s="12">
        <v>34</v>
      </c>
      <c r="Y46" s="12" t="s">
        <v>80</v>
      </c>
      <c r="Z46" s="12" t="s">
        <v>81</v>
      </c>
      <c r="AA46" s="13">
        <v>1.8439999999999998E-8</v>
      </c>
      <c r="AB46" s="12"/>
      <c r="AC46" s="12"/>
      <c r="AD46" s="12"/>
      <c r="AE46" s="12"/>
      <c r="AF46" s="12"/>
    </row>
    <row r="47" spans="1:32" x14ac:dyDescent="0.25">
      <c r="A47" t="s">
        <v>78</v>
      </c>
      <c r="B47">
        <v>19.260000000000002</v>
      </c>
      <c r="C47" t="s">
        <v>72</v>
      </c>
      <c r="D47">
        <v>3</v>
      </c>
      <c r="E47" t="s">
        <v>79</v>
      </c>
      <c r="F47">
        <v>32</v>
      </c>
      <c r="G47" t="s">
        <v>80</v>
      </c>
      <c r="H47" t="s">
        <v>81</v>
      </c>
      <c r="I47" s="8">
        <v>2.5540000000000002E-7</v>
      </c>
      <c r="J47" s="9" t="s">
        <v>78</v>
      </c>
      <c r="K47" s="9">
        <v>29.28</v>
      </c>
      <c r="L47" s="9" t="s">
        <v>72</v>
      </c>
      <c r="M47" s="9">
        <v>2</v>
      </c>
      <c r="N47" s="9" t="s">
        <v>79</v>
      </c>
      <c r="O47" s="9">
        <v>33</v>
      </c>
      <c r="P47" s="9" t="s">
        <v>80</v>
      </c>
      <c r="Q47" s="9" t="s">
        <v>81</v>
      </c>
      <c r="R47" s="11">
        <v>4.8709999999999997E-8</v>
      </c>
      <c r="S47" s="9"/>
      <c r="T47" s="9"/>
      <c r="U47" s="9"/>
      <c r="V47" s="9"/>
      <c r="W47" s="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Y105"/>
  <sheetViews>
    <sheetView topLeftCell="C7" workbookViewId="0">
      <selection activeCell="V2" sqref="V2"/>
    </sheetView>
  </sheetViews>
  <sheetFormatPr defaultRowHeight="14.4" x14ac:dyDescent="0.25"/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14" t="s">
        <v>9</v>
      </c>
      <c r="O1" s="1" t="s">
        <v>0</v>
      </c>
      <c r="P1" s="2" t="s">
        <v>1</v>
      </c>
      <c r="Q1" s="2" t="s">
        <v>2</v>
      </c>
      <c r="R1" s="2" t="s">
        <v>3</v>
      </c>
      <c r="S1" s="14" t="s">
        <v>9</v>
      </c>
      <c r="U1" s="1" t="s">
        <v>0</v>
      </c>
      <c r="V1" s="2" t="s">
        <v>1</v>
      </c>
      <c r="W1" s="2" t="s">
        <v>2</v>
      </c>
      <c r="X1" s="2" t="s">
        <v>3</v>
      </c>
      <c r="Y1" s="14" t="s">
        <v>9</v>
      </c>
    </row>
    <row r="2" spans="1:25" x14ac:dyDescent="0.25">
      <c r="A2">
        <v>1</v>
      </c>
      <c r="B2">
        <v>0</v>
      </c>
      <c r="C2">
        <v>100</v>
      </c>
      <c r="D2">
        <v>25</v>
      </c>
      <c r="E2">
        <v>0.78533361777495503</v>
      </c>
      <c r="O2">
        <v>1</v>
      </c>
      <c r="P2">
        <v>25</v>
      </c>
      <c r="Q2">
        <v>100</v>
      </c>
      <c r="R2">
        <v>0</v>
      </c>
      <c r="S2">
        <v>2.4853752973362</v>
      </c>
      <c r="U2">
        <v>1</v>
      </c>
      <c r="V2">
        <v>25</v>
      </c>
      <c r="W2">
        <v>90</v>
      </c>
      <c r="X2">
        <v>25</v>
      </c>
      <c r="Y2">
        <v>0.98119047934814996</v>
      </c>
    </row>
    <row r="3" spans="1:25" x14ac:dyDescent="0.25">
      <c r="A3">
        <v>1</v>
      </c>
      <c r="B3">
        <v>1</v>
      </c>
      <c r="C3">
        <v>100</v>
      </c>
      <c r="D3">
        <v>25</v>
      </c>
      <c r="E3">
        <v>0.815819453276868</v>
      </c>
      <c r="O3">
        <v>1</v>
      </c>
      <c r="P3">
        <v>25</v>
      </c>
      <c r="Q3">
        <v>100</v>
      </c>
      <c r="R3">
        <v>1</v>
      </c>
      <c r="S3">
        <v>2.4587589347591599</v>
      </c>
      <c r="U3">
        <v>1</v>
      </c>
      <c r="V3">
        <v>25</v>
      </c>
      <c r="W3">
        <v>90.5</v>
      </c>
      <c r="X3">
        <v>25</v>
      </c>
      <c r="Y3">
        <v>0.91885763375584895</v>
      </c>
    </row>
    <row r="4" spans="1:25" x14ac:dyDescent="0.25">
      <c r="A4">
        <v>1</v>
      </c>
      <c r="B4">
        <v>2</v>
      </c>
      <c r="C4">
        <v>100</v>
      </c>
      <c r="D4">
        <v>25</v>
      </c>
      <c r="E4">
        <v>0.84937822300144605</v>
      </c>
      <c r="O4">
        <v>1</v>
      </c>
      <c r="P4">
        <v>25</v>
      </c>
      <c r="Q4">
        <v>100</v>
      </c>
      <c r="R4">
        <v>2</v>
      </c>
      <c r="S4">
        <v>2.42888935859113</v>
      </c>
      <c r="U4">
        <v>1</v>
      </c>
      <c r="V4">
        <v>25</v>
      </c>
      <c r="W4">
        <v>91</v>
      </c>
      <c r="X4">
        <v>25</v>
      </c>
      <c r="Y4">
        <v>0.89284190096074101</v>
      </c>
    </row>
    <row r="5" spans="1:25" x14ac:dyDescent="0.25">
      <c r="A5">
        <v>1</v>
      </c>
      <c r="B5">
        <v>3</v>
      </c>
      <c r="C5">
        <v>100</v>
      </c>
      <c r="D5">
        <v>25</v>
      </c>
      <c r="E5">
        <v>0.88583012355382496</v>
      </c>
      <c r="O5">
        <v>1</v>
      </c>
      <c r="P5">
        <v>25</v>
      </c>
      <c r="Q5">
        <v>100</v>
      </c>
      <c r="R5">
        <v>3</v>
      </c>
      <c r="S5">
        <v>2.3955346428586402</v>
      </c>
      <c r="U5">
        <v>1</v>
      </c>
      <c r="V5">
        <v>25</v>
      </c>
      <c r="W5">
        <v>91.5</v>
      </c>
      <c r="X5">
        <v>25</v>
      </c>
      <c r="Y5">
        <v>0.900089483960685</v>
      </c>
    </row>
    <row r="6" spans="1:25" x14ac:dyDescent="0.25">
      <c r="A6">
        <v>1</v>
      </c>
      <c r="B6">
        <v>4</v>
      </c>
      <c r="C6">
        <v>100</v>
      </c>
      <c r="D6">
        <v>25</v>
      </c>
      <c r="E6">
        <v>0.92472400195204496</v>
      </c>
      <c r="O6">
        <v>1</v>
      </c>
      <c r="P6">
        <v>25</v>
      </c>
      <c r="Q6">
        <v>100</v>
      </c>
      <c r="R6">
        <v>4</v>
      </c>
      <c r="S6">
        <v>2.35849619120633</v>
      </c>
      <c r="U6">
        <v>1</v>
      </c>
      <c r="V6">
        <v>25</v>
      </c>
      <c r="W6">
        <v>92</v>
      </c>
      <c r="X6">
        <v>25</v>
      </c>
      <c r="Y6">
        <v>0.93060317740662102</v>
      </c>
    </row>
    <row r="7" spans="1:25" x14ac:dyDescent="0.25">
      <c r="A7">
        <v>1</v>
      </c>
      <c r="B7">
        <v>5</v>
      </c>
      <c r="C7">
        <v>100</v>
      </c>
      <c r="D7">
        <v>25</v>
      </c>
      <c r="E7">
        <v>0.96534662491573797</v>
      </c>
      <c r="O7">
        <v>1</v>
      </c>
      <c r="P7">
        <v>25</v>
      </c>
      <c r="Q7">
        <v>100</v>
      </c>
      <c r="R7">
        <v>5</v>
      </c>
      <c r="S7">
        <v>2.31762175218863</v>
      </c>
      <c r="U7">
        <v>1</v>
      </c>
      <c r="V7">
        <v>25</v>
      </c>
      <c r="W7">
        <v>92.5</v>
      </c>
      <c r="X7">
        <v>25</v>
      </c>
      <c r="Y7">
        <v>0.97068985736517099</v>
      </c>
    </row>
    <row r="8" spans="1:25" x14ac:dyDescent="0.25">
      <c r="A8">
        <v>1</v>
      </c>
      <c r="B8">
        <v>6</v>
      </c>
      <c r="C8">
        <v>100</v>
      </c>
      <c r="D8">
        <v>25</v>
      </c>
      <c r="E8">
        <v>1.0067744401288601</v>
      </c>
      <c r="O8">
        <v>1</v>
      </c>
      <c r="P8">
        <v>25</v>
      </c>
      <c r="Q8">
        <v>100</v>
      </c>
      <c r="R8">
        <v>6</v>
      </c>
      <c r="S8">
        <v>2.2728177979172499</v>
      </c>
      <c r="U8">
        <v>1</v>
      </c>
      <c r="V8">
        <v>25</v>
      </c>
      <c r="W8">
        <v>93</v>
      </c>
      <c r="X8">
        <v>25</v>
      </c>
      <c r="Y8">
        <v>1.00851790727575</v>
      </c>
    </row>
    <row r="9" spans="1:25" x14ac:dyDescent="0.25">
      <c r="A9">
        <v>1</v>
      </c>
      <c r="B9">
        <v>7</v>
      </c>
      <c r="C9">
        <v>100</v>
      </c>
      <c r="D9">
        <v>25</v>
      </c>
      <c r="E9">
        <v>1.04796451843824</v>
      </c>
      <c r="O9">
        <v>1</v>
      </c>
      <c r="P9">
        <v>25</v>
      </c>
      <c r="Q9">
        <v>100</v>
      </c>
      <c r="R9">
        <v>7</v>
      </c>
      <c r="S9">
        <v>2.2240590324945</v>
      </c>
      <c r="U9">
        <v>1</v>
      </c>
      <c r="V9">
        <v>25</v>
      </c>
      <c r="W9">
        <v>93.5</v>
      </c>
      <c r="X9">
        <v>25</v>
      </c>
      <c r="Y9">
        <v>1.03828895051325</v>
      </c>
    </row>
    <row r="10" spans="1:25" x14ac:dyDescent="0.25">
      <c r="A10">
        <v>1</v>
      </c>
      <c r="B10">
        <v>8</v>
      </c>
      <c r="C10">
        <v>100</v>
      </c>
      <c r="D10">
        <v>25</v>
      </c>
      <c r="E10">
        <v>1.08786952291025</v>
      </c>
      <c r="O10">
        <v>1</v>
      </c>
      <c r="P10">
        <v>25</v>
      </c>
      <c r="Q10">
        <v>100</v>
      </c>
      <c r="R10">
        <v>8</v>
      </c>
      <c r="S10">
        <v>2.1713918477329299</v>
      </c>
      <c r="U10">
        <v>1</v>
      </c>
      <c r="V10">
        <v>25</v>
      </c>
      <c r="W10">
        <v>94</v>
      </c>
      <c r="X10">
        <v>25</v>
      </c>
      <c r="Y10">
        <v>1.06076527509312</v>
      </c>
    </row>
    <row r="11" spans="1:25" x14ac:dyDescent="0.25">
      <c r="A11">
        <v>1</v>
      </c>
      <c r="B11">
        <v>9</v>
      </c>
      <c r="C11">
        <v>100</v>
      </c>
      <c r="D11">
        <v>25</v>
      </c>
      <c r="E11">
        <v>1.1255534717612701</v>
      </c>
      <c r="O11">
        <v>1</v>
      </c>
      <c r="P11">
        <v>25</v>
      </c>
      <c r="Q11">
        <v>100</v>
      </c>
      <c r="R11">
        <v>9</v>
      </c>
      <c r="S11">
        <v>2.1149274674307001</v>
      </c>
      <c r="U11">
        <v>1</v>
      </c>
      <c r="V11">
        <v>25</v>
      </c>
      <c r="W11">
        <v>94.5</v>
      </c>
      <c r="X11">
        <v>25</v>
      </c>
      <c r="Y11">
        <v>1.08111927875626</v>
      </c>
    </row>
    <row r="12" spans="1:25" x14ac:dyDescent="0.25">
      <c r="A12">
        <v>1</v>
      </c>
      <c r="B12">
        <v>10</v>
      </c>
      <c r="C12">
        <v>100</v>
      </c>
      <c r="D12">
        <v>25</v>
      </c>
      <c r="E12">
        <v>1.16028461039331</v>
      </c>
      <c r="O12">
        <v>1</v>
      </c>
      <c r="P12">
        <v>25</v>
      </c>
      <c r="Q12">
        <v>100</v>
      </c>
      <c r="R12">
        <v>10</v>
      </c>
      <c r="S12">
        <v>2.0548194225566401</v>
      </c>
      <c r="U12">
        <v>1</v>
      </c>
      <c r="V12">
        <v>25</v>
      </c>
      <c r="W12">
        <v>95</v>
      </c>
      <c r="X12">
        <v>25</v>
      </c>
      <c r="Y12">
        <v>1.10610074654819</v>
      </c>
    </row>
    <row r="13" spans="1:25" x14ac:dyDescent="0.25">
      <c r="A13">
        <v>1</v>
      </c>
      <c r="B13">
        <v>11</v>
      </c>
      <c r="C13">
        <v>100</v>
      </c>
      <c r="D13">
        <v>25</v>
      </c>
      <c r="E13">
        <v>1.19158913277905</v>
      </c>
      <c r="O13">
        <v>1</v>
      </c>
      <c r="P13">
        <v>25</v>
      </c>
      <c r="Q13">
        <v>100</v>
      </c>
      <c r="R13">
        <v>11</v>
      </c>
      <c r="S13">
        <v>1.9912191970028901</v>
      </c>
      <c r="U13">
        <v>1</v>
      </c>
      <c r="V13">
        <v>25</v>
      </c>
      <c r="W13">
        <v>95.5</v>
      </c>
      <c r="X13">
        <v>25</v>
      </c>
      <c r="Y13">
        <v>1.1414868096100299</v>
      </c>
    </row>
    <row r="14" spans="1:25" x14ac:dyDescent="0.25">
      <c r="A14">
        <v>1</v>
      </c>
      <c r="B14">
        <v>12</v>
      </c>
      <c r="C14">
        <v>100</v>
      </c>
      <c r="D14">
        <v>25</v>
      </c>
      <c r="E14">
        <v>1.21926125869248</v>
      </c>
      <c r="O14">
        <v>1</v>
      </c>
      <c r="P14">
        <v>25</v>
      </c>
      <c r="Q14">
        <v>100</v>
      </c>
      <c r="R14">
        <v>12</v>
      </c>
      <c r="S14">
        <v>1.9242043409942999</v>
      </c>
      <c r="U14">
        <v>1</v>
      </c>
      <c r="V14">
        <v>25</v>
      </c>
      <c r="W14">
        <v>96</v>
      </c>
      <c r="X14">
        <v>25</v>
      </c>
      <c r="Y14">
        <v>1.1899099889198099</v>
      </c>
    </row>
    <row r="15" spans="1:25" x14ac:dyDescent="0.25">
      <c r="A15">
        <v>1</v>
      </c>
      <c r="B15">
        <v>13</v>
      </c>
      <c r="C15">
        <v>100</v>
      </c>
      <c r="D15">
        <v>25</v>
      </c>
      <c r="E15">
        <v>1.2433362251675399</v>
      </c>
      <c r="O15">
        <v>1</v>
      </c>
      <c r="P15">
        <v>25</v>
      </c>
      <c r="Q15">
        <v>100</v>
      </c>
      <c r="R15">
        <v>13</v>
      </c>
      <c r="S15">
        <v>1.85367777717513</v>
      </c>
      <c r="U15">
        <v>1</v>
      </c>
      <c r="V15">
        <v>25</v>
      </c>
      <c r="W15">
        <v>96.5</v>
      </c>
      <c r="X15">
        <v>25</v>
      </c>
      <c r="Y15">
        <v>1.2493283493406599</v>
      </c>
    </row>
    <row r="16" spans="1:25" x14ac:dyDescent="0.25">
      <c r="A16">
        <v>1</v>
      </c>
      <c r="B16">
        <v>14</v>
      </c>
      <c r="C16">
        <v>100</v>
      </c>
      <c r="D16">
        <v>25</v>
      </c>
      <c r="E16">
        <v>1.2640393723847501</v>
      </c>
      <c r="O16">
        <v>1</v>
      </c>
      <c r="P16">
        <v>25</v>
      </c>
      <c r="Q16">
        <v>100</v>
      </c>
      <c r="R16">
        <v>14</v>
      </c>
      <c r="S16">
        <v>1.77925223939096</v>
      </c>
      <c r="U16">
        <v>1</v>
      </c>
      <c r="V16">
        <v>25</v>
      </c>
      <c r="W16">
        <v>97</v>
      </c>
      <c r="X16">
        <v>25</v>
      </c>
      <c r="Y16">
        <v>1.3129554453155099</v>
      </c>
    </row>
    <row r="17" spans="1:25" x14ac:dyDescent="0.25">
      <c r="A17">
        <v>1</v>
      </c>
      <c r="B17">
        <v>15</v>
      </c>
      <c r="C17">
        <v>100</v>
      </c>
      <c r="D17">
        <v>25</v>
      </c>
      <c r="E17">
        <v>1.2817257656783001</v>
      </c>
      <c r="O17">
        <v>1</v>
      </c>
      <c r="P17">
        <v>25</v>
      </c>
      <c r="Q17">
        <v>100</v>
      </c>
      <c r="R17">
        <v>15</v>
      </c>
      <c r="S17">
        <v>1.7001743216182701</v>
      </c>
      <c r="U17">
        <v>1</v>
      </c>
      <c r="V17">
        <v>25</v>
      </c>
      <c r="W17">
        <v>97.5</v>
      </c>
      <c r="X17">
        <v>25</v>
      </c>
      <c r="Y17">
        <v>1.3712304158886901</v>
      </c>
    </row>
    <row r="18" spans="1:25" x14ac:dyDescent="0.25">
      <c r="A18">
        <v>1</v>
      </c>
      <c r="B18">
        <v>16</v>
      </c>
      <c r="C18">
        <v>100</v>
      </c>
      <c r="D18">
        <v>25</v>
      </c>
      <c r="E18">
        <v>1.2968220816817499</v>
      </c>
      <c r="O18">
        <v>1</v>
      </c>
      <c r="P18">
        <v>25</v>
      </c>
      <c r="Q18">
        <v>100</v>
      </c>
      <c r="R18">
        <v>16</v>
      </c>
      <c r="S18">
        <v>1.6154310151310101</v>
      </c>
      <c r="U18">
        <v>1</v>
      </c>
      <c r="V18">
        <v>25</v>
      </c>
      <c r="W18">
        <v>98</v>
      </c>
      <c r="X18">
        <v>25</v>
      </c>
      <c r="Y18">
        <v>1.41505287354151</v>
      </c>
    </row>
    <row r="19" spans="1:25" x14ac:dyDescent="0.25">
      <c r="A19">
        <v>1</v>
      </c>
      <c r="B19">
        <v>17</v>
      </c>
      <c r="C19">
        <v>100</v>
      </c>
      <c r="D19">
        <v>25</v>
      </c>
      <c r="E19">
        <v>1.30977805248725</v>
      </c>
      <c r="O19">
        <v>1</v>
      </c>
      <c r="P19">
        <v>25</v>
      </c>
      <c r="Q19">
        <v>100</v>
      </c>
      <c r="R19">
        <v>17</v>
      </c>
      <c r="S19">
        <v>1.5243251347265401</v>
      </c>
      <c r="U19">
        <v>1</v>
      </c>
      <c r="V19">
        <v>25</v>
      </c>
      <c r="W19">
        <v>98.5</v>
      </c>
      <c r="X19">
        <v>25</v>
      </c>
      <c r="Y19">
        <v>1.4384244242440201</v>
      </c>
    </row>
    <row r="20" spans="1:25" x14ac:dyDescent="0.25">
      <c r="A20">
        <v>1</v>
      </c>
      <c r="B20">
        <v>18</v>
      </c>
      <c r="C20">
        <v>100</v>
      </c>
      <c r="D20">
        <v>25</v>
      </c>
      <c r="E20">
        <v>1.3210304863170601</v>
      </c>
      <c r="O20">
        <v>1</v>
      </c>
      <c r="P20">
        <v>25</v>
      </c>
      <c r="Q20">
        <v>100</v>
      </c>
      <c r="R20">
        <v>18</v>
      </c>
      <c r="S20">
        <v>1.4279061564075901</v>
      </c>
      <c r="U20">
        <v>1</v>
      </c>
      <c r="V20">
        <v>25</v>
      </c>
      <c r="W20">
        <v>99</v>
      </c>
      <c r="X20">
        <v>25</v>
      </c>
      <c r="Y20">
        <v>1.43924510093387</v>
      </c>
    </row>
    <row r="21" spans="1:25" x14ac:dyDescent="0.25">
      <c r="A21">
        <v>1</v>
      </c>
      <c r="B21">
        <v>19</v>
      </c>
      <c r="C21">
        <v>100</v>
      </c>
      <c r="D21">
        <v>25</v>
      </c>
      <c r="E21">
        <v>1.33097975864591</v>
      </c>
      <c r="O21">
        <v>1</v>
      </c>
      <c r="P21">
        <v>25</v>
      </c>
      <c r="Q21">
        <v>100</v>
      </c>
      <c r="R21">
        <v>19</v>
      </c>
      <c r="S21">
        <v>1.33134943656725</v>
      </c>
      <c r="U21">
        <v>1</v>
      </c>
      <c r="V21">
        <v>25</v>
      </c>
      <c r="W21">
        <v>99.5</v>
      </c>
      <c r="X21">
        <v>25</v>
      </c>
      <c r="Y21">
        <v>1.41855487415499</v>
      </c>
    </row>
    <row r="22" spans="1:25" x14ac:dyDescent="0.25">
      <c r="A22">
        <v>1</v>
      </c>
      <c r="B22">
        <v>20</v>
      </c>
      <c r="C22">
        <v>100</v>
      </c>
      <c r="D22">
        <v>25</v>
      </c>
      <c r="E22">
        <v>1.33997689448211</v>
      </c>
      <c r="O22">
        <v>1</v>
      </c>
      <c r="P22">
        <v>25</v>
      </c>
      <c r="Q22">
        <v>100</v>
      </c>
      <c r="R22">
        <v>20</v>
      </c>
      <c r="S22">
        <v>1.24622659004585</v>
      </c>
      <c r="U22">
        <v>1</v>
      </c>
      <c r="V22">
        <v>25</v>
      </c>
      <c r="W22">
        <v>100</v>
      </c>
      <c r="X22">
        <v>25</v>
      </c>
      <c r="Y22">
        <v>1.37928907006924</v>
      </c>
    </row>
    <row r="23" spans="1:25" x14ac:dyDescent="0.25">
      <c r="A23">
        <v>1</v>
      </c>
      <c r="B23">
        <v>21</v>
      </c>
      <c r="C23">
        <v>100</v>
      </c>
      <c r="D23">
        <v>25</v>
      </c>
      <c r="E23">
        <v>1.3483186894249199</v>
      </c>
      <c r="O23">
        <v>1</v>
      </c>
      <c r="P23">
        <v>25</v>
      </c>
      <c r="Q23">
        <v>100</v>
      </c>
      <c r="R23">
        <v>21</v>
      </c>
      <c r="S23">
        <v>1.18997873532582</v>
      </c>
      <c r="U23">
        <v>-1</v>
      </c>
      <c r="V23">
        <v>25</v>
      </c>
      <c r="W23">
        <v>90</v>
      </c>
      <c r="X23">
        <v>25</v>
      </c>
      <c r="Y23">
        <v>2.82078462624786</v>
      </c>
    </row>
    <row r="24" spans="1:25" x14ac:dyDescent="0.25">
      <c r="A24">
        <v>1</v>
      </c>
      <c r="B24">
        <v>22</v>
      </c>
      <c r="C24">
        <v>100</v>
      </c>
      <c r="D24">
        <v>25</v>
      </c>
      <c r="E24">
        <v>1.3562483524718401</v>
      </c>
      <c r="O24">
        <v>1</v>
      </c>
      <c r="P24">
        <v>25</v>
      </c>
      <c r="Q24">
        <v>100</v>
      </c>
      <c r="R24">
        <v>22</v>
      </c>
      <c r="S24">
        <v>1.1797145033424601</v>
      </c>
      <c r="U24">
        <v>-1</v>
      </c>
      <c r="V24">
        <v>25</v>
      </c>
      <c r="W24">
        <v>90.5</v>
      </c>
      <c r="X24">
        <v>25</v>
      </c>
      <c r="Y24">
        <v>2.7263679349143</v>
      </c>
    </row>
    <row r="25" spans="1:25" x14ac:dyDescent="0.25">
      <c r="A25">
        <v>1</v>
      </c>
      <c r="B25">
        <v>23</v>
      </c>
      <c r="C25">
        <v>100</v>
      </c>
      <c r="D25">
        <v>25</v>
      </c>
      <c r="E25">
        <v>1.36395954727514</v>
      </c>
      <c r="O25">
        <v>1</v>
      </c>
      <c r="P25">
        <v>25</v>
      </c>
      <c r="Q25">
        <v>100</v>
      </c>
      <c r="R25">
        <v>23</v>
      </c>
      <c r="S25">
        <v>1.2207163836345101</v>
      </c>
      <c r="U25">
        <v>-1</v>
      </c>
      <c r="V25">
        <v>25</v>
      </c>
      <c r="W25">
        <v>91</v>
      </c>
      <c r="X25">
        <v>25</v>
      </c>
      <c r="Y25">
        <v>2.6374048676861901</v>
      </c>
    </row>
    <row r="26" spans="1:25" x14ac:dyDescent="0.25">
      <c r="A26">
        <v>1</v>
      </c>
      <c r="B26">
        <v>24</v>
      </c>
      <c r="C26">
        <v>100</v>
      </c>
      <c r="D26">
        <v>25</v>
      </c>
      <c r="E26">
        <v>1.37160221770609</v>
      </c>
      <c r="O26">
        <v>1</v>
      </c>
      <c r="P26">
        <v>25</v>
      </c>
      <c r="Q26">
        <v>100</v>
      </c>
      <c r="R26">
        <v>24</v>
      </c>
      <c r="S26">
        <v>1.2973857226235199</v>
      </c>
      <c r="U26">
        <v>-1</v>
      </c>
      <c r="V26">
        <v>25</v>
      </c>
      <c r="W26">
        <v>91.5</v>
      </c>
      <c r="X26">
        <v>25</v>
      </c>
      <c r="Y26">
        <v>2.5550342840129701</v>
      </c>
    </row>
    <row r="27" spans="1:25" x14ac:dyDescent="0.25">
      <c r="A27">
        <v>1</v>
      </c>
      <c r="B27">
        <v>25</v>
      </c>
      <c r="C27">
        <v>100</v>
      </c>
      <c r="D27">
        <v>25</v>
      </c>
      <c r="E27">
        <v>1.37928907006924</v>
      </c>
      <c r="O27">
        <v>1</v>
      </c>
      <c r="P27">
        <v>25</v>
      </c>
      <c r="Q27">
        <v>100</v>
      </c>
      <c r="R27">
        <v>25</v>
      </c>
      <c r="S27">
        <v>1.37928907006924</v>
      </c>
      <c r="U27">
        <v>-1</v>
      </c>
      <c r="V27">
        <v>25</v>
      </c>
      <c r="W27">
        <v>92</v>
      </c>
      <c r="X27">
        <v>25</v>
      </c>
      <c r="Y27">
        <v>2.4799125252062799</v>
      </c>
    </row>
    <row r="28" spans="1:25" x14ac:dyDescent="0.25">
      <c r="A28">
        <v>1</v>
      </c>
      <c r="B28">
        <v>26</v>
      </c>
      <c r="C28">
        <v>100</v>
      </c>
      <c r="D28">
        <v>25</v>
      </c>
      <c r="E28">
        <v>1.38710198666175</v>
      </c>
      <c r="O28">
        <v>1</v>
      </c>
      <c r="P28">
        <v>25</v>
      </c>
      <c r="Q28">
        <v>100</v>
      </c>
      <c r="R28">
        <v>26</v>
      </c>
      <c r="S28">
        <v>1.44094029302439</v>
      </c>
      <c r="U28">
        <v>-1</v>
      </c>
      <c r="V28">
        <v>25</v>
      </c>
      <c r="W28">
        <v>92.5</v>
      </c>
      <c r="X28">
        <v>25</v>
      </c>
      <c r="Y28">
        <v>2.4123856668067201</v>
      </c>
    </row>
    <row r="29" spans="1:25" x14ac:dyDescent="0.25">
      <c r="A29">
        <v>1</v>
      </c>
      <c r="B29">
        <v>27</v>
      </c>
      <c r="C29">
        <v>100</v>
      </c>
      <c r="D29">
        <v>25</v>
      </c>
      <c r="E29">
        <v>1.3950979486102699</v>
      </c>
      <c r="O29">
        <v>1</v>
      </c>
      <c r="P29">
        <v>25</v>
      </c>
      <c r="Q29">
        <v>100</v>
      </c>
      <c r="R29">
        <v>27</v>
      </c>
      <c r="S29">
        <v>1.4745295385956501</v>
      </c>
      <c r="U29">
        <v>-1</v>
      </c>
      <c r="V29">
        <v>25</v>
      </c>
      <c r="W29">
        <v>93</v>
      </c>
      <c r="X29">
        <v>25</v>
      </c>
      <c r="Y29">
        <v>2.3526919945903799</v>
      </c>
    </row>
    <row r="30" spans="1:25" x14ac:dyDescent="0.25">
      <c r="A30">
        <v>1</v>
      </c>
      <c r="B30">
        <v>28</v>
      </c>
      <c r="C30">
        <v>100</v>
      </c>
      <c r="D30">
        <v>25</v>
      </c>
      <c r="E30">
        <v>1.4033142585592999</v>
      </c>
      <c r="O30">
        <v>1</v>
      </c>
      <c r="P30">
        <v>25</v>
      </c>
      <c r="Q30">
        <v>100</v>
      </c>
      <c r="R30">
        <v>28</v>
      </c>
      <c r="S30">
        <v>1.48634990970348</v>
      </c>
      <c r="U30">
        <v>-1</v>
      </c>
      <c r="V30">
        <v>25</v>
      </c>
      <c r="W30">
        <v>93.5</v>
      </c>
      <c r="X30">
        <v>25</v>
      </c>
      <c r="Y30">
        <v>2.3011897616111399</v>
      </c>
    </row>
    <row r="31" spans="1:25" x14ac:dyDescent="0.25">
      <c r="A31">
        <v>1</v>
      </c>
      <c r="B31">
        <v>29</v>
      </c>
      <c r="C31">
        <v>100</v>
      </c>
      <c r="D31">
        <v>25</v>
      </c>
      <c r="E31">
        <v>1.4117729933615</v>
      </c>
      <c r="O31">
        <v>1</v>
      </c>
      <c r="P31">
        <v>25</v>
      </c>
      <c r="Q31">
        <v>100</v>
      </c>
      <c r="R31">
        <v>29</v>
      </c>
      <c r="S31">
        <v>1.48772459757355</v>
      </c>
      <c r="U31">
        <v>-1</v>
      </c>
      <c r="V31">
        <v>25</v>
      </c>
      <c r="W31">
        <v>94</v>
      </c>
      <c r="X31">
        <v>25</v>
      </c>
      <c r="Y31">
        <v>2.2586215244348602</v>
      </c>
    </row>
    <row r="32" spans="1:25" x14ac:dyDescent="0.25">
      <c r="A32">
        <v>1</v>
      </c>
      <c r="B32">
        <v>30</v>
      </c>
      <c r="C32">
        <v>100</v>
      </c>
      <c r="D32">
        <v>25</v>
      </c>
      <c r="E32">
        <v>1.42048470212446</v>
      </c>
      <c r="O32">
        <v>1</v>
      </c>
      <c r="P32">
        <v>25</v>
      </c>
      <c r="Q32">
        <v>100</v>
      </c>
      <c r="R32">
        <v>30</v>
      </c>
      <c r="S32">
        <v>1.4890330280495101</v>
      </c>
      <c r="U32">
        <v>-1</v>
      </c>
      <c r="V32">
        <v>25</v>
      </c>
      <c r="W32">
        <v>94.5</v>
      </c>
      <c r="X32">
        <v>25</v>
      </c>
      <c r="Y32">
        <v>2.2264058672076001</v>
      </c>
    </row>
    <row r="33" spans="1:25" x14ac:dyDescent="0.25">
      <c r="A33">
        <v>1</v>
      </c>
      <c r="B33">
        <v>31</v>
      </c>
      <c r="C33">
        <v>100</v>
      </c>
      <c r="D33">
        <v>25</v>
      </c>
      <c r="E33">
        <v>1.4294514121153901</v>
      </c>
      <c r="O33">
        <v>-1</v>
      </c>
      <c r="P33">
        <v>25</v>
      </c>
      <c r="Q33">
        <v>100</v>
      </c>
      <c r="R33">
        <v>0</v>
      </c>
      <c r="S33">
        <v>1.15083521699197</v>
      </c>
      <c r="U33">
        <v>-1</v>
      </c>
      <c r="V33">
        <v>25</v>
      </c>
      <c r="W33">
        <v>95</v>
      </c>
      <c r="X33">
        <v>25</v>
      </c>
      <c r="Y33">
        <v>2.2068879834649602</v>
      </c>
    </row>
    <row r="34" spans="1:25" x14ac:dyDescent="0.25">
      <c r="A34">
        <v>1</v>
      </c>
      <c r="B34">
        <v>32</v>
      </c>
      <c r="C34">
        <v>100</v>
      </c>
      <c r="D34">
        <v>25</v>
      </c>
      <c r="E34">
        <v>1.4386690269382101</v>
      </c>
      <c r="O34">
        <v>-1</v>
      </c>
      <c r="P34">
        <v>25</v>
      </c>
      <c r="Q34">
        <v>100</v>
      </c>
      <c r="R34">
        <v>1</v>
      </c>
      <c r="S34">
        <v>1.17475606477432</v>
      </c>
      <c r="U34">
        <v>-1</v>
      </c>
      <c r="V34">
        <v>25</v>
      </c>
      <c r="W34">
        <v>95.5</v>
      </c>
      <c r="X34">
        <v>25</v>
      </c>
      <c r="Y34">
        <v>2.2033740605600798</v>
      </c>
    </row>
    <row r="35" spans="1:25" x14ac:dyDescent="0.25">
      <c r="A35">
        <v>1</v>
      </c>
      <c r="B35">
        <v>33</v>
      </c>
      <c r="C35">
        <v>100</v>
      </c>
      <c r="D35">
        <v>25</v>
      </c>
      <c r="E35">
        <v>1.44812920749286</v>
      </c>
      <c r="O35">
        <v>-1</v>
      </c>
      <c r="P35">
        <v>25</v>
      </c>
      <c r="Q35">
        <v>100</v>
      </c>
      <c r="R35">
        <v>2</v>
      </c>
      <c r="S35">
        <v>1.20090000367964</v>
      </c>
      <c r="U35">
        <v>-1</v>
      </c>
      <c r="V35">
        <v>25</v>
      </c>
      <c r="W35">
        <v>96</v>
      </c>
      <c r="X35">
        <v>25</v>
      </c>
      <c r="Y35">
        <v>2.2196297754269598</v>
      </c>
    </row>
    <row r="36" spans="1:25" x14ac:dyDescent="0.25">
      <c r="A36">
        <v>1</v>
      </c>
      <c r="B36">
        <v>34</v>
      </c>
      <c r="C36">
        <v>100</v>
      </c>
      <c r="D36">
        <v>25</v>
      </c>
      <c r="E36">
        <v>1.4578208230691201</v>
      </c>
      <c r="O36">
        <v>-1</v>
      </c>
      <c r="P36">
        <v>25</v>
      </c>
      <c r="Q36">
        <v>100</v>
      </c>
      <c r="R36">
        <v>3</v>
      </c>
      <c r="S36">
        <v>1.2296466590438899</v>
      </c>
      <c r="U36">
        <v>-1</v>
      </c>
      <c r="V36">
        <v>25</v>
      </c>
      <c r="W36">
        <v>96.5</v>
      </c>
      <c r="X36">
        <v>25</v>
      </c>
      <c r="Y36">
        <v>2.2584722312282799</v>
      </c>
    </row>
    <row r="37" spans="1:25" x14ac:dyDescent="0.25">
      <c r="A37">
        <v>1</v>
      </c>
      <c r="B37">
        <v>35</v>
      </c>
      <c r="C37">
        <v>100</v>
      </c>
      <c r="D37">
        <v>25</v>
      </c>
      <c r="E37">
        <v>1.46773105189079</v>
      </c>
      <c r="O37">
        <v>-1</v>
      </c>
      <c r="P37">
        <v>25</v>
      </c>
      <c r="Q37">
        <v>100</v>
      </c>
      <c r="R37">
        <v>4</v>
      </c>
      <c r="S37">
        <v>1.2613947870602999</v>
      </c>
      <c r="U37">
        <v>-1</v>
      </c>
      <c r="V37">
        <v>25</v>
      </c>
      <c r="W37">
        <v>97</v>
      </c>
      <c r="X37">
        <v>25</v>
      </c>
      <c r="Y37">
        <v>2.3194838667416202</v>
      </c>
    </row>
    <row r="38" spans="1:25" x14ac:dyDescent="0.25">
      <c r="A38">
        <v>1</v>
      </c>
      <c r="B38">
        <v>36</v>
      </c>
      <c r="C38">
        <v>100</v>
      </c>
      <c r="D38">
        <v>25</v>
      </c>
      <c r="E38">
        <v>1.4778462002989201</v>
      </c>
      <c r="O38">
        <v>-1</v>
      </c>
      <c r="P38">
        <v>25</v>
      </c>
      <c r="Q38">
        <v>100</v>
      </c>
      <c r="R38">
        <v>5</v>
      </c>
      <c r="S38">
        <v>1.2965462820368701</v>
      </c>
      <c r="U38">
        <v>-1</v>
      </c>
      <c r="V38">
        <v>25</v>
      </c>
      <c r="W38">
        <v>97.5</v>
      </c>
      <c r="X38">
        <v>25</v>
      </c>
      <c r="Y38">
        <v>2.3969971065324902</v>
      </c>
    </row>
    <row r="39" spans="1:25" x14ac:dyDescent="0.25">
      <c r="A39">
        <v>1</v>
      </c>
      <c r="B39">
        <v>37</v>
      </c>
      <c r="C39">
        <v>100</v>
      </c>
      <c r="D39">
        <v>25</v>
      </c>
      <c r="E39">
        <v>1.48815229923026</v>
      </c>
      <c r="O39">
        <v>-1</v>
      </c>
      <c r="P39">
        <v>25</v>
      </c>
      <c r="Q39">
        <v>100</v>
      </c>
      <c r="R39">
        <v>6</v>
      </c>
      <c r="S39">
        <v>1.3354961270085901</v>
      </c>
      <c r="U39">
        <v>-1</v>
      </c>
      <c r="V39">
        <v>25</v>
      </c>
      <c r="W39">
        <v>98</v>
      </c>
      <c r="X39">
        <v>25</v>
      </c>
      <c r="Y39">
        <v>2.4804790930230101</v>
      </c>
    </row>
    <row r="40" spans="1:25" x14ac:dyDescent="0.25">
      <c r="A40">
        <v>1</v>
      </c>
      <c r="B40">
        <v>38</v>
      </c>
      <c r="C40">
        <v>100</v>
      </c>
      <c r="D40">
        <v>25</v>
      </c>
      <c r="E40">
        <v>1.49863552665865</v>
      </c>
      <c r="O40">
        <v>-1</v>
      </c>
      <c r="P40">
        <v>25</v>
      </c>
      <c r="Q40">
        <v>100</v>
      </c>
      <c r="R40">
        <v>7</v>
      </c>
      <c r="S40">
        <v>1.3786354106174099</v>
      </c>
      <c r="U40">
        <v>-1</v>
      </c>
      <c r="V40">
        <v>25</v>
      </c>
      <c r="W40">
        <v>98.5</v>
      </c>
      <c r="X40">
        <v>25</v>
      </c>
      <c r="Y40">
        <v>2.5582157370612602</v>
      </c>
    </row>
    <row r="41" spans="1:25" x14ac:dyDescent="0.25">
      <c r="A41">
        <v>1</v>
      </c>
      <c r="B41">
        <v>39</v>
      </c>
      <c r="C41">
        <v>100</v>
      </c>
      <c r="D41">
        <v>25</v>
      </c>
      <c r="E41">
        <v>1.5092824956979201</v>
      </c>
      <c r="O41">
        <v>-1</v>
      </c>
      <c r="P41">
        <v>25</v>
      </c>
      <c r="Q41">
        <v>100</v>
      </c>
      <c r="R41">
        <v>8</v>
      </c>
      <c r="S41">
        <v>1.4263760105849299</v>
      </c>
      <c r="U41">
        <v>-1</v>
      </c>
      <c r="V41">
        <v>25</v>
      </c>
      <c r="W41">
        <v>99</v>
      </c>
      <c r="X41">
        <v>25</v>
      </c>
      <c r="Y41">
        <v>2.6218690298270202</v>
      </c>
    </row>
    <row r="42" spans="1:25" x14ac:dyDescent="0.25">
      <c r="A42">
        <v>1</v>
      </c>
      <c r="B42">
        <v>40</v>
      </c>
      <c r="C42">
        <v>100</v>
      </c>
      <c r="D42">
        <v>25</v>
      </c>
      <c r="E42">
        <v>1.5200804402972099</v>
      </c>
      <c r="O42">
        <v>-1</v>
      </c>
      <c r="P42">
        <v>25</v>
      </c>
      <c r="Q42">
        <v>100</v>
      </c>
      <c r="R42">
        <v>9</v>
      </c>
      <c r="S42">
        <v>1.47920806105534</v>
      </c>
      <c r="U42">
        <v>-1</v>
      </c>
      <c r="V42">
        <v>25</v>
      </c>
      <c r="W42">
        <v>99.5</v>
      </c>
      <c r="X42">
        <v>25</v>
      </c>
      <c r="Y42">
        <v>2.6682140889846599</v>
      </c>
    </row>
    <row r="43" spans="1:25" x14ac:dyDescent="0.25">
      <c r="A43">
        <v>1</v>
      </c>
      <c r="B43">
        <v>41</v>
      </c>
      <c r="C43">
        <v>100</v>
      </c>
      <c r="D43">
        <v>25</v>
      </c>
      <c r="E43">
        <v>1.53101732390423</v>
      </c>
      <c r="O43">
        <v>-1</v>
      </c>
      <c r="P43">
        <v>25</v>
      </c>
      <c r="Q43">
        <v>100</v>
      </c>
      <c r="R43">
        <v>10</v>
      </c>
      <c r="S43">
        <v>1.5378038186754199</v>
      </c>
      <c r="U43">
        <v>-1</v>
      </c>
      <c r="V43">
        <v>25</v>
      </c>
      <c r="W43">
        <v>100</v>
      </c>
      <c r="X43">
        <v>25</v>
      </c>
      <c r="Y43">
        <v>2.6971822241952901</v>
      </c>
    </row>
    <row r="44" spans="1:25" x14ac:dyDescent="0.25">
      <c r="A44">
        <v>1</v>
      </c>
      <c r="B44">
        <v>42</v>
      </c>
      <c r="C44">
        <v>100</v>
      </c>
      <c r="D44">
        <v>25</v>
      </c>
      <c r="E44">
        <v>1.5420818910451799</v>
      </c>
      <c r="O44">
        <v>-1</v>
      </c>
      <c r="P44">
        <v>25</v>
      </c>
      <c r="Q44">
        <v>100</v>
      </c>
      <c r="R44">
        <v>11</v>
      </c>
      <c r="S44">
        <v>1.6031778572198601</v>
      </c>
    </row>
    <row r="45" spans="1:25" x14ac:dyDescent="0.25">
      <c r="A45">
        <v>1</v>
      </c>
      <c r="B45">
        <v>43</v>
      </c>
      <c r="C45">
        <v>100</v>
      </c>
      <c r="D45">
        <v>25</v>
      </c>
      <c r="E45">
        <v>1.5532636773458699</v>
      </c>
      <c r="O45">
        <v>-1</v>
      </c>
      <c r="P45">
        <v>25</v>
      </c>
      <c r="Q45">
        <v>100</v>
      </c>
      <c r="R45">
        <v>12</v>
      </c>
      <c r="S45">
        <v>1.6768862685780599</v>
      </c>
    </row>
    <row r="46" spans="1:25" x14ac:dyDescent="0.25">
      <c r="A46">
        <v>1</v>
      </c>
      <c r="B46">
        <v>44</v>
      </c>
      <c r="C46">
        <v>100</v>
      </c>
      <c r="D46">
        <v>25</v>
      </c>
      <c r="E46">
        <v>1.5645529899561901</v>
      </c>
      <c r="O46">
        <v>-1</v>
      </c>
      <c r="P46">
        <v>25</v>
      </c>
      <c r="Q46">
        <v>100</v>
      </c>
      <c r="R46">
        <v>13</v>
      </c>
      <c r="S46">
        <v>1.76116124896017</v>
      </c>
    </row>
    <row r="47" spans="1:25" x14ac:dyDescent="0.25">
      <c r="A47">
        <v>1</v>
      </c>
      <c r="B47">
        <v>45</v>
      </c>
      <c r="C47">
        <v>100</v>
      </c>
      <c r="D47">
        <v>25</v>
      </c>
      <c r="E47">
        <v>1.5759408675004001</v>
      </c>
      <c r="O47">
        <v>-1</v>
      </c>
      <c r="P47">
        <v>25</v>
      </c>
      <c r="Q47">
        <v>100</v>
      </c>
      <c r="R47">
        <v>14</v>
      </c>
      <c r="S47">
        <v>1.85869287099101</v>
      </c>
    </row>
    <row r="48" spans="1:25" x14ac:dyDescent="0.25">
      <c r="A48">
        <v>1</v>
      </c>
      <c r="B48">
        <v>46</v>
      </c>
      <c r="C48">
        <v>100</v>
      </c>
      <c r="D48">
        <v>25</v>
      </c>
      <c r="E48">
        <v>1.58741902643378</v>
      </c>
      <c r="O48">
        <v>-1</v>
      </c>
      <c r="P48">
        <v>25</v>
      </c>
      <c r="Q48">
        <v>100</v>
      </c>
      <c r="R48">
        <v>15</v>
      </c>
      <c r="S48">
        <v>1.9715517431437199</v>
      </c>
    </row>
    <row r="49" spans="1:19" x14ac:dyDescent="0.25">
      <c r="A49">
        <v>1</v>
      </c>
      <c r="B49">
        <v>47</v>
      </c>
      <c r="C49">
        <v>100</v>
      </c>
      <c r="D49">
        <v>25</v>
      </c>
      <c r="E49">
        <v>1.5989797989299099</v>
      </c>
      <c r="O49">
        <v>-1</v>
      </c>
      <c r="P49">
        <v>25</v>
      </c>
      <c r="Q49">
        <v>100</v>
      </c>
      <c r="R49">
        <v>16</v>
      </c>
      <c r="S49">
        <v>2.0989186249366401</v>
      </c>
    </row>
    <row r="50" spans="1:19" x14ac:dyDescent="0.25">
      <c r="A50">
        <v>1</v>
      </c>
      <c r="B50">
        <v>48</v>
      </c>
      <c r="C50">
        <v>100</v>
      </c>
      <c r="D50">
        <v>25</v>
      </c>
      <c r="E50">
        <v>1.6106160660575799</v>
      </c>
      <c r="O50">
        <v>-1</v>
      </c>
      <c r="P50">
        <v>25</v>
      </c>
      <c r="Q50">
        <v>100</v>
      </c>
      <c r="R50">
        <v>17</v>
      </c>
      <c r="S50">
        <v>2.2345711085405</v>
      </c>
    </row>
    <row r="51" spans="1:19" x14ac:dyDescent="0.25">
      <c r="A51">
        <v>1</v>
      </c>
      <c r="B51">
        <v>49</v>
      </c>
      <c r="C51">
        <v>100</v>
      </c>
      <c r="D51">
        <v>25</v>
      </c>
      <c r="E51">
        <v>1.62232118895393</v>
      </c>
      <c r="O51">
        <v>-1</v>
      </c>
      <c r="P51">
        <v>25</v>
      </c>
      <c r="Q51">
        <v>100</v>
      </c>
      <c r="R51">
        <v>18</v>
      </c>
      <c r="S51">
        <v>2.36688336272096</v>
      </c>
    </row>
    <row r="52" spans="1:19" x14ac:dyDescent="0.25">
      <c r="A52">
        <v>1</v>
      </c>
      <c r="B52">
        <v>50</v>
      </c>
      <c r="C52">
        <v>100</v>
      </c>
      <c r="D52">
        <v>25</v>
      </c>
      <c r="E52">
        <v>1.6340889398940801</v>
      </c>
      <c r="O52">
        <v>-1</v>
      </c>
      <c r="P52">
        <v>25</v>
      </c>
      <c r="Q52">
        <v>100</v>
      </c>
      <c r="R52">
        <v>19</v>
      </c>
      <c r="S52">
        <v>2.4830652854064099</v>
      </c>
    </row>
    <row r="53" spans="1:19" x14ac:dyDescent="0.25">
      <c r="A53">
        <v>-1</v>
      </c>
      <c r="B53">
        <v>0</v>
      </c>
      <c r="C53">
        <v>100</v>
      </c>
      <c r="D53">
        <v>25</v>
      </c>
      <c r="E53">
        <v>0.93597488658064298</v>
      </c>
      <c r="O53">
        <v>-1</v>
      </c>
      <c r="P53">
        <v>25</v>
      </c>
      <c r="Q53">
        <v>100</v>
      </c>
      <c r="R53">
        <v>20</v>
      </c>
      <c r="S53">
        <v>2.5746616065131702</v>
      </c>
    </row>
    <row r="54" spans="1:19" x14ac:dyDescent="0.25">
      <c r="A54">
        <v>-1</v>
      </c>
      <c r="B54">
        <v>1</v>
      </c>
      <c r="C54">
        <v>100</v>
      </c>
      <c r="D54">
        <v>25</v>
      </c>
      <c r="E54">
        <v>1.01189305473256</v>
      </c>
      <c r="O54">
        <v>-1</v>
      </c>
      <c r="P54">
        <v>25</v>
      </c>
      <c r="Q54">
        <v>100</v>
      </c>
      <c r="R54">
        <v>21</v>
      </c>
      <c r="S54">
        <v>2.63962454412161</v>
      </c>
    </row>
    <row r="55" spans="1:19" x14ac:dyDescent="0.25">
      <c r="A55">
        <v>-1</v>
      </c>
      <c r="B55">
        <v>2</v>
      </c>
      <c r="C55">
        <v>100</v>
      </c>
      <c r="D55">
        <v>25</v>
      </c>
      <c r="E55">
        <v>1.0853730835200199</v>
      </c>
      <c r="O55">
        <v>-1</v>
      </c>
      <c r="P55">
        <v>25</v>
      </c>
      <c r="Q55">
        <v>100</v>
      </c>
      <c r="R55">
        <v>22</v>
      </c>
      <c r="S55">
        <v>2.6804712781498998</v>
      </c>
    </row>
    <row r="56" spans="1:19" x14ac:dyDescent="0.25">
      <c r="A56">
        <v>-1</v>
      </c>
      <c r="B56">
        <v>3</v>
      </c>
      <c r="C56">
        <v>100</v>
      </c>
      <c r="D56">
        <v>25</v>
      </c>
      <c r="E56">
        <v>1.1559173639514999</v>
      </c>
      <c r="O56">
        <v>-1</v>
      </c>
      <c r="P56">
        <v>25</v>
      </c>
      <c r="Q56">
        <v>100</v>
      </c>
      <c r="R56">
        <v>23</v>
      </c>
      <c r="S56">
        <v>2.7013567301694401</v>
      </c>
    </row>
    <row r="57" spans="1:19" x14ac:dyDescent="0.25">
      <c r="A57">
        <v>-1</v>
      </c>
      <c r="B57">
        <v>4</v>
      </c>
      <c r="C57">
        <v>100</v>
      </c>
      <c r="D57">
        <v>25</v>
      </c>
      <c r="E57">
        <v>1.22333226535588</v>
      </c>
      <c r="O57">
        <v>-1</v>
      </c>
      <c r="P57">
        <v>25</v>
      </c>
      <c r="Q57">
        <v>100</v>
      </c>
      <c r="R57">
        <v>24</v>
      </c>
      <c r="S57">
        <v>2.7060674971542298</v>
      </c>
    </row>
    <row r="58" spans="1:19" x14ac:dyDescent="0.25">
      <c r="A58">
        <v>-1</v>
      </c>
      <c r="B58">
        <v>5</v>
      </c>
      <c r="C58">
        <v>100</v>
      </c>
      <c r="D58">
        <v>25</v>
      </c>
      <c r="E58">
        <v>1.28770210172903</v>
      </c>
      <c r="O58">
        <v>-1</v>
      </c>
      <c r="P58">
        <v>25</v>
      </c>
      <c r="Q58">
        <v>100</v>
      </c>
      <c r="R58">
        <v>25</v>
      </c>
      <c r="S58">
        <v>2.6971822241952901</v>
      </c>
    </row>
    <row r="59" spans="1:19" x14ac:dyDescent="0.25">
      <c r="A59">
        <v>-1</v>
      </c>
      <c r="B59">
        <v>6</v>
      </c>
      <c r="C59">
        <v>100</v>
      </c>
      <c r="D59">
        <v>25</v>
      </c>
      <c r="E59">
        <v>1.34933964883479</v>
      </c>
      <c r="O59">
        <v>-1</v>
      </c>
      <c r="P59">
        <v>25</v>
      </c>
      <c r="Q59">
        <v>100</v>
      </c>
      <c r="R59">
        <v>26</v>
      </c>
      <c r="S59">
        <v>2.6760147820673801</v>
      </c>
    </row>
    <row r="60" spans="1:19" x14ac:dyDescent="0.25">
      <c r="A60">
        <v>-1</v>
      </c>
      <c r="B60">
        <v>7</v>
      </c>
      <c r="C60">
        <v>100</v>
      </c>
      <c r="D60">
        <v>25</v>
      </c>
      <c r="E60">
        <v>1.4087272126417401</v>
      </c>
      <c r="O60">
        <v>-1</v>
      </c>
      <c r="P60">
        <v>25</v>
      </c>
      <c r="Q60">
        <v>100</v>
      </c>
      <c r="R60">
        <v>27</v>
      </c>
      <c r="S60">
        <v>2.6430661605647101</v>
      </c>
    </row>
    <row r="61" spans="1:19" x14ac:dyDescent="0.25">
      <c r="A61">
        <v>-1</v>
      </c>
      <c r="B61">
        <v>8</v>
      </c>
      <c r="C61">
        <v>100</v>
      </c>
      <c r="D61">
        <v>25</v>
      </c>
      <c r="E61">
        <v>1.4664592468359099</v>
      </c>
      <c r="O61">
        <v>-1</v>
      </c>
      <c r="P61">
        <v>25</v>
      </c>
      <c r="Q61">
        <v>100</v>
      </c>
      <c r="R61">
        <v>28</v>
      </c>
      <c r="S61">
        <v>2.5988942893973501</v>
      </c>
    </row>
    <row r="62" spans="1:19" x14ac:dyDescent="0.25">
      <c r="A62">
        <v>-1</v>
      </c>
      <c r="B62">
        <v>9</v>
      </c>
      <c r="C62">
        <v>100</v>
      </c>
      <c r="D62">
        <v>25</v>
      </c>
      <c r="E62">
        <v>1.5231930680119701</v>
      </c>
      <c r="O62">
        <v>-1</v>
      </c>
      <c r="P62">
        <v>25</v>
      </c>
      <c r="Q62">
        <v>100</v>
      </c>
      <c r="R62">
        <v>29</v>
      </c>
      <c r="S62">
        <v>2.5453389272865001</v>
      </c>
    </row>
    <row r="63" spans="1:19" x14ac:dyDescent="0.25">
      <c r="A63">
        <v>-1</v>
      </c>
      <c r="B63">
        <v>10</v>
      </c>
      <c r="C63">
        <v>100</v>
      </c>
      <c r="D63">
        <v>25</v>
      </c>
      <c r="E63">
        <v>1.5796100834729001</v>
      </c>
      <c r="O63">
        <v>-1</v>
      </c>
      <c r="P63">
        <v>25</v>
      </c>
      <c r="Q63">
        <v>100</v>
      </c>
      <c r="R63">
        <v>30</v>
      </c>
      <c r="S63">
        <v>2.4869086096428701</v>
      </c>
    </row>
    <row r="64" spans="1:19" x14ac:dyDescent="0.25">
      <c r="A64">
        <v>-1</v>
      </c>
      <c r="B64">
        <v>11</v>
      </c>
      <c r="C64">
        <v>100</v>
      </c>
      <c r="D64">
        <v>25</v>
      </c>
      <c r="E64">
        <v>1.63638699957973</v>
      </c>
    </row>
    <row r="65" spans="1:5" x14ac:dyDescent="0.25">
      <c r="A65">
        <v>-1</v>
      </c>
      <c r="B65">
        <v>12</v>
      </c>
      <c r="C65">
        <v>100</v>
      </c>
      <c r="D65">
        <v>25</v>
      </c>
      <c r="E65">
        <v>1.6941748505872201</v>
      </c>
    </row>
    <row r="66" spans="1:5" x14ac:dyDescent="0.25">
      <c r="A66">
        <v>-1</v>
      </c>
      <c r="B66">
        <v>13</v>
      </c>
      <c r="C66">
        <v>100</v>
      </c>
      <c r="D66">
        <v>25</v>
      </c>
      <c r="E66">
        <v>1.7535831181194199</v>
      </c>
    </row>
    <row r="67" spans="1:5" x14ac:dyDescent="0.25">
      <c r="A67">
        <v>-1</v>
      </c>
      <c r="B67">
        <v>14</v>
      </c>
      <c r="C67">
        <v>100</v>
      </c>
      <c r="D67">
        <v>25</v>
      </c>
      <c r="E67">
        <v>1.81516633818901</v>
      </c>
    </row>
    <row r="68" spans="1:5" x14ac:dyDescent="0.25">
      <c r="A68">
        <v>-1</v>
      </c>
      <c r="B68">
        <v>15</v>
      </c>
      <c r="C68">
        <v>100</v>
      </c>
      <c r="D68">
        <v>25</v>
      </c>
      <c r="E68">
        <v>1.8794111123038999</v>
      </c>
    </row>
    <row r="69" spans="1:5" x14ac:dyDescent="0.25">
      <c r="A69">
        <v>-1</v>
      </c>
      <c r="B69">
        <v>16</v>
      </c>
      <c r="C69">
        <v>100</v>
      </c>
      <c r="D69">
        <v>25</v>
      </c>
      <c r="E69">
        <v>1.9467221532302399</v>
      </c>
    </row>
    <row r="70" spans="1:5" x14ac:dyDescent="0.25">
      <c r="A70">
        <v>-1</v>
      </c>
      <c r="B70">
        <v>17</v>
      </c>
      <c r="C70">
        <v>100</v>
      </c>
      <c r="D70">
        <v>25</v>
      </c>
      <c r="E70">
        <v>2.0174067952038901</v>
      </c>
    </row>
    <row r="71" spans="1:5" x14ac:dyDescent="0.25">
      <c r="A71">
        <v>-1</v>
      </c>
      <c r="B71">
        <v>18</v>
      </c>
      <c r="C71">
        <v>100</v>
      </c>
      <c r="D71">
        <v>25</v>
      </c>
      <c r="E71">
        <v>2.09165822379875</v>
      </c>
    </row>
    <row r="72" spans="1:5" x14ac:dyDescent="0.25">
      <c r="A72">
        <v>-1</v>
      </c>
      <c r="B72">
        <v>19</v>
      </c>
      <c r="C72">
        <v>100</v>
      </c>
      <c r="D72">
        <v>25</v>
      </c>
      <c r="E72">
        <v>2.1695384838544101</v>
      </c>
    </row>
    <row r="73" spans="1:5" x14ac:dyDescent="0.25">
      <c r="A73">
        <v>-1</v>
      </c>
      <c r="B73">
        <v>20</v>
      </c>
      <c r="C73">
        <v>100</v>
      </c>
      <c r="D73">
        <v>25</v>
      </c>
      <c r="E73">
        <v>2.2509630380517902</v>
      </c>
    </row>
    <row r="74" spans="1:5" x14ac:dyDescent="0.25">
      <c r="A74">
        <v>-1</v>
      </c>
      <c r="B74">
        <v>21</v>
      </c>
      <c r="C74">
        <v>100</v>
      </c>
      <c r="D74">
        <v>25</v>
      </c>
      <c r="E74">
        <v>2.3356891763083301</v>
      </c>
    </row>
    <row r="75" spans="1:5" x14ac:dyDescent="0.25">
      <c r="A75">
        <v>-1</v>
      </c>
      <c r="B75">
        <v>22</v>
      </c>
      <c r="C75">
        <v>100</v>
      </c>
      <c r="D75">
        <v>25</v>
      </c>
      <c r="E75">
        <v>2.4233107964627099</v>
      </c>
    </row>
    <row r="76" spans="1:5" x14ac:dyDescent="0.25">
      <c r="A76">
        <v>-1</v>
      </c>
      <c r="B76">
        <v>23</v>
      </c>
      <c r="C76">
        <v>100</v>
      </c>
      <c r="D76">
        <v>25</v>
      </c>
      <c r="E76">
        <v>2.5132618745398498</v>
      </c>
    </row>
    <row r="77" spans="1:5" x14ac:dyDescent="0.25">
      <c r="A77">
        <v>-1</v>
      </c>
      <c r="B77">
        <v>24</v>
      </c>
      <c r="C77">
        <v>100</v>
      </c>
      <c r="D77">
        <v>25</v>
      </c>
      <c r="E77">
        <v>2.6048302526443301</v>
      </c>
    </row>
    <row r="78" spans="1:5" x14ac:dyDescent="0.25">
      <c r="A78">
        <v>-1</v>
      </c>
      <c r="B78">
        <v>25</v>
      </c>
      <c r="C78">
        <v>100</v>
      </c>
      <c r="D78">
        <v>25</v>
      </c>
      <c r="E78">
        <v>2.6971822241952901</v>
      </c>
    </row>
    <row r="79" spans="1:5" x14ac:dyDescent="0.25">
      <c r="A79">
        <v>-1</v>
      </c>
      <c r="B79">
        <v>26</v>
      </c>
      <c r="C79">
        <v>100</v>
      </c>
      <c r="D79">
        <v>25</v>
      </c>
      <c r="E79">
        <v>2.78939694267673</v>
      </c>
    </row>
    <row r="80" spans="1:5" x14ac:dyDescent="0.25">
      <c r="A80">
        <v>-1</v>
      </c>
      <c r="B80">
        <v>27</v>
      </c>
      <c r="C80">
        <v>100</v>
      </c>
      <c r="D80">
        <v>25</v>
      </c>
      <c r="E80">
        <v>2.8805081862186799</v>
      </c>
    </row>
    <row r="81" spans="1:5" x14ac:dyDescent="0.25">
      <c r="A81">
        <v>-1</v>
      </c>
      <c r="B81">
        <v>28</v>
      </c>
      <c r="C81">
        <v>100</v>
      </c>
      <c r="D81">
        <v>25</v>
      </c>
      <c r="E81">
        <v>2.9695497961415702</v>
      </c>
    </row>
    <row r="82" spans="1:5" x14ac:dyDescent="0.25">
      <c r="A82">
        <v>-1</v>
      </c>
      <c r="B82">
        <v>29</v>
      </c>
      <c r="C82">
        <v>100</v>
      </c>
      <c r="D82">
        <v>25</v>
      </c>
      <c r="E82">
        <v>3.0556004582551499</v>
      </c>
    </row>
    <row r="83" spans="1:5" x14ac:dyDescent="0.25">
      <c r="A83">
        <v>-1</v>
      </c>
      <c r="B83">
        <v>30</v>
      </c>
      <c r="C83">
        <v>100</v>
      </c>
      <c r="D83">
        <v>25</v>
      </c>
      <c r="E83">
        <v>3.13782357075167</v>
      </c>
    </row>
    <row r="84" spans="1:5" x14ac:dyDescent="0.25">
      <c r="A84">
        <v>-1</v>
      </c>
      <c r="B84">
        <v>31</v>
      </c>
      <c r="C84">
        <v>100</v>
      </c>
      <c r="D84">
        <v>25</v>
      </c>
      <c r="E84">
        <v>3.2154987220837201</v>
      </c>
    </row>
    <row r="85" spans="1:5" x14ac:dyDescent="0.25">
      <c r="A85">
        <v>-1</v>
      </c>
      <c r="B85">
        <v>32</v>
      </c>
      <c r="C85">
        <v>100</v>
      </c>
      <c r="D85">
        <v>25</v>
      </c>
      <c r="E85">
        <v>3.2880425941245002</v>
      </c>
    </row>
    <row r="86" spans="1:5" x14ac:dyDescent="0.25">
      <c r="A86">
        <v>-1</v>
      </c>
      <c r="B86">
        <v>33</v>
      </c>
      <c r="C86">
        <v>100</v>
      </c>
      <c r="D86">
        <v>25</v>
      </c>
      <c r="E86">
        <v>3.35501861076501</v>
      </c>
    </row>
    <row r="87" spans="1:5" x14ac:dyDescent="0.25">
      <c r="A87">
        <v>-1</v>
      </c>
      <c r="B87">
        <v>34</v>
      </c>
      <c r="C87">
        <v>100</v>
      </c>
      <c r="D87">
        <v>25</v>
      </c>
      <c r="E87">
        <v>3.4161360575645601</v>
      </c>
    </row>
    <row r="88" spans="1:5" x14ac:dyDescent="0.25">
      <c r="A88">
        <v>-1</v>
      </c>
      <c r="B88">
        <v>35</v>
      </c>
      <c r="C88">
        <v>100</v>
      </c>
      <c r="D88">
        <v>25</v>
      </c>
      <c r="E88">
        <v>3.4712404642738202</v>
      </c>
    </row>
    <row r="89" spans="1:5" x14ac:dyDescent="0.25">
      <c r="A89">
        <v>-1</v>
      </c>
      <c r="B89">
        <v>36</v>
      </c>
      <c r="C89">
        <v>100</v>
      </c>
      <c r="D89">
        <v>25</v>
      </c>
      <c r="E89">
        <v>3.5202976493920999</v>
      </c>
    </row>
    <row r="90" spans="1:5" x14ac:dyDescent="0.25">
      <c r="A90">
        <v>-1</v>
      </c>
      <c r="B90">
        <v>37</v>
      </c>
      <c r="C90">
        <v>100</v>
      </c>
      <c r="D90">
        <v>25</v>
      </c>
      <c r="E90">
        <v>3.5633739770342001</v>
      </c>
    </row>
    <row r="91" spans="1:5" x14ac:dyDescent="0.25">
      <c r="A91">
        <v>-1</v>
      </c>
      <c r="B91">
        <v>38</v>
      </c>
      <c r="C91">
        <v>100</v>
      </c>
      <c r="D91">
        <v>25</v>
      </c>
      <c r="E91">
        <v>3.6006151634039099</v>
      </c>
    </row>
    <row r="92" spans="1:5" x14ac:dyDescent="0.25">
      <c r="A92">
        <v>-1</v>
      </c>
      <c r="B92">
        <v>39</v>
      </c>
      <c r="C92">
        <v>100</v>
      </c>
      <c r="D92">
        <v>25</v>
      </c>
      <c r="E92">
        <v>3.6322255277010398</v>
      </c>
    </row>
    <row r="93" spans="1:5" x14ac:dyDescent="0.25">
      <c r="A93">
        <v>-1</v>
      </c>
      <c r="B93">
        <v>40</v>
      </c>
      <c r="C93">
        <v>100</v>
      </c>
      <c r="D93">
        <v>25</v>
      </c>
      <c r="E93">
        <v>3.6584490447223801</v>
      </c>
    </row>
    <row r="94" spans="1:5" x14ac:dyDescent="0.25">
      <c r="A94">
        <v>-1</v>
      </c>
      <c r="B94">
        <v>41</v>
      </c>
      <c r="C94">
        <v>100</v>
      </c>
      <c r="D94">
        <v>25</v>
      </c>
      <c r="E94">
        <v>3.6795530302274302</v>
      </c>
    </row>
    <row r="95" spans="1:5" x14ac:dyDescent="0.25">
      <c r="A95">
        <v>-1</v>
      </c>
      <c r="B95">
        <v>42</v>
      </c>
      <c r="C95">
        <v>100</v>
      </c>
      <c r="D95">
        <v>25</v>
      </c>
      <c r="E95">
        <v>3.6958148429296198</v>
      </c>
    </row>
    <row r="96" spans="1:5" x14ac:dyDescent="0.25">
      <c r="A96">
        <v>-1</v>
      </c>
      <c r="B96">
        <v>43</v>
      </c>
      <c r="C96">
        <v>100</v>
      </c>
      <c r="D96">
        <v>25</v>
      </c>
      <c r="E96">
        <v>3.70751164936777</v>
      </c>
    </row>
    <row r="97" spans="1:5" x14ac:dyDescent="0.25">
      <c r="A97">
        <v>-1</v>
      </c>
      <c r="B97">
        <v>44</v>
      </c>
      <c r="C97">
        <v>100</v>
      </c>
      <c r="D97">
        <v>25</v>
      </c>
      <c r="E97">
        <v>3.7149130724066</v>
      </c>
    </row>
    <row r="98" spans="1:5" x14ac:dyDescent="0.25">
      <c r="A98">
        <v>-1</v>
      </c>
      <c r="B98">
        <v>45</v>
      </c>
      <c r="C98">
        <v>100</v>
      </c>
      <c r="D98">
        <v>25</v>
      </c>
      <c r="E98">
        <v>3.7182764157641399</v>
      </c>
    </row>
    <row r="99" spans="1:5" x14ac:dyDescent="0.25">
      <c r="A99">
        <v>-1</v>
      </c>
      <c r="B99">
        <v>46</v>
      </c>
      <c r="C99">
        <v>100</v>
      </c>
      <c r="D99">
        <v>25</v>
      </c>
      <c r="E99">
        <v>3.71784410270191</v>
      </c>
    </row>
    <row r="100" spans="1:5" x14ac:dyDescent="0.25">
      <c r="A100">
        <v>-1</v>
      </c>
      <c r="B100">
        <v>47</v>
      </c>
      <c r="C100">
        <v>100</v>
      </c>
      <c r="D100">
        <v>25</v>
      </c>
      <c r="E100">
        <v>3.7138429622908098</v>
      </c>
    </row>
    <row r="101" spans="1:5" x14ac:dyDescent="0.25">
      <c r="A101">
        <v>-1</v>
      </c>
      <c r="B101">
        <v>48</v>
      </c>
      <c r="C101">
        <v>100</v>
      </c>
      <c r="D101">
        <v>25</v>
      </c>
      <c r="E101">
        <v>3.7064850193841998</v>
      </c>
    </row>
    <row r="102" spans="1:5" x14ac:dyDescent="0.25">
      <c r="A102">
        <v>-1</v>
      </c>
      <c r="B102">
        <v>49</v>
      </c>
      <c r="C102">
        <v>100</v>
      </c>
      <c r="D102">
        <v>25</v>
      </c>
      <c r="E102">
        <v>3.69596947680694</v>
      </c>
    </row>
    <row r="103" spans="1:5" x14ac:dyDescent="0.25">
      <c r="A103">
        <v>-1</v>
      </c>
      <c r="B103">
        <v>50</v>
      </c>
      <c r="C103">
        <v>100</v>
      </c>
      <c r="D103">
        <v>25</v>
      </c>
      <c r="E103">
        <v>3.6824856074307699</v>
      </c>
    </row>
    <row r="105" spans="1:5" x14ac:dyDescent="0.25">
      <c r="C105" s="21" t="s">
        <v>106</v>
      </c>
    </row>
  </sheetData>
  <phoneticPr fontId="5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103"/>
  <sheetViews>
    <sheetView topLeftCell="A61" workbookViewId="0">
      <selection activeCell="B74" sqref="B74"/>
    </sheetView>
  </sheetViews>
  <sheetFormatPr defaultRowHeight="14.4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10</v>
      </c>
      <c r="E1" s="1" t="s">
        <v>9</v>
      </c>
    </row>
    <row r="2" spans="1:5" x14ac:dyDescent="0.25">
      <c r="A2" s="3" t="s">
        <v>94</v>
      </c>
      <c r="B2" s="4">
        <v>50</v>
      </c>
      <c r="C2" s="4">
        <v>100</v>
      </c>
      <c r="D2" s="4">
        <v>17</v>
      </c>
      <c r="E2" s="3">
        <v>1.4951564114722418</v>
      </c>
    </row>
    <row r="3" spans="1:5" x14ac:dyDescent="0.25">
      <c r="A3" s="3" t="s">
        <v>94</v>
      </c>
      <c r="B3" s="4">
        <v>50</v>
      </c>
      <c r="C3" s="4">
        <v>100</v>
      </c>
      <c r="D3" s="4">
        <v>25</v>
      </c>
      <c r="E3" s="3">
        <v>1.6256022247097128</v>
      </c>
    </row>
    <row r="4" spans="1:5" x14ac:dyDescent="0.25">
      <c r="A4" s="3" t="s">
        <v>94</v>
      </c>
      <c r="B4" s="4">
        <v>50</v>
      </c>
      <c r="C4" s="4">
        <v>100</v>
      </c>
      <c r="D4" s="4">
        <v>30</v>
      </c>
      <c r="E4" s="3">
        <v>1.5603792131930609</v>
      </c>
    </row>
    <row r="5" spans="1:5" x14ac:dyDescent="0.25">
      <c r="A5" s="3" t="s">
        <v>94</v>
      </c>
      <c r="B5" s="4">
        <v>25</v>
      </c>
      <c r="C5" s="4">
        <v>100</v>
      </c>
      <c r="D5" s="4">
        <v>17</v>
      </c>
      <c r="E5" s="3">
        <v>1.5967191434455525</v>
      </c>
    </row>
    <row r="6" spans="1:5" x14ac:dyDescent="0.25">
      <c r="A6" s="3" t="s">
        <v>94</v>
      </c>
      <c r="B6" s="4">
        <v>25</v>
      </c>
      <c r="C6" s="4">
        <v>100</v>
      </c>
      <c r="D6" s="4">
        <v>25</v>
      </c>
      <c r="E6" s="3">
        <v>1.6175301225929515</v>
      </c>
    </row>
    <row r="7" spans="1:5" x14ac:dyDescent="0.25">
      <c r="A7" s="3" t="s">
        <v>94</v>
      </c>
      <c r="B7" s="4">
        <v>25</v>
      </c>
      <c r="C7" s="4">
        <v>100</v>
      </c>
      <c r="D7" s="4">
        <v>30</v>
      </c>
      <c r="E7" s="3">
        <v>1.2519677054411074</v>
      </c>
    </row>
    <row r="8" spans="1:5" x14ac:dyDescent="0.25">
      <c r="A8" s="3" t="s">
        <v>94</v>
      </c>
      <c r="B8" s="4">
        <v>15</v>
      </c>
      <c r="C8" s="4">
        <v>100</v>
      </c>
      <c r="D8" s="4">
        <v>17</v>
      </c>
      <c r="E8" s="3">
        <v>1.0415096296228017</v>
      </c>
    </row>
    <row r="9" spans="1:5" x14ac:dyDescent="0.25">
      <c r="A9" s="3" t="s">
        <v>94</v>
      </c>
      <c r="B9" s="4">
        <v>15</v>
      </c>
      <c r="C9" s="4">
        <v>100</v>
      </c>
      <c r="D9" s="4">
        <v>25</v>
      </c>
      <c r="E9" s="3">
        <v>1.329941534309081</v>
      </c>
    </row>
    <row r="10" spans="1:5" x14ac:dyDescent="0.25">
      <c r="A10" s="3" t="s">
        <v>94</v>
      </c>
      <c r="B10" s="4">
        <v>15</v>
      </c>
      <c r="C10" s="4">
        <v>100</v>
      </c>
      <c r="D10" s="4">
        <v>30</v>
      </c>
      <c r="E10" s="3">
        <v>1.5660008299004491</v>
      </c>
    </row>
    <row r="11" spans="1:5" x14ac:dyDescent="0.25">
      <c r="A11" s="3" t="s">
        <v>94</v>
      </c>
      <c r="B11" s="4">
        <v>10</v>
      </c>
      <c r="C11" s="4">
        <v>100</v>
      </c>
      <c r="D11" s="4">
        <v>17</v>
      </c>
      <c r="E11" s="3">
        <v>1.3981551606864167</v>
      </c>
    </row>
    <row r="12" spans="1:5" x14ac:dyDescent="0.25">
      <c r="A12" s="3" t="s">
        <v>94</v>
      </c>
      <c r="B12" s="4">
        <v>10</v>
      </c>
      <c r="C12" s="4">
        <v>100</v>
      </c>
      <c r="D12" s="4">
        <v>25</v>
      </c>
      <c r="E12" s="3">
        <v>1.0207994571220553</v>
      </c>
    </row>
    <row r="13" spans="1:5" x14ac:dyDescent="0.25">
      <c r="A13" s="3" t="s">
        <v>94</v>
      </c>
      <c r="B13" s="4">
        <v>10</v>
      </c>
      <c r="C13" s="4">
        <v>100</v>
      </c>
      <c r="D13" s="4">
        <v>30</v>
      </c>
      <c r="E13" s="3">
        <v>1.4019870621779329</v>
      </c>
    </row>
    <row r="14" spans="1:5" x14ac:dyDescent="0.25">
      <c r="A14" s="3" t="s">
        <v>94</v>
      </c>
      <c r="B14" s="4">
        <v>5</v>
      </c>
      <c r="C14" s="4">
        <v>100</v>
      </c>
      <c r="D14" s="4">
        <v>17</v>
      </c>
      <c r="E14" s="3">
        <v>1.1434045919062215</v>
      </c>
    </row>
    <row r="15" spans="1:5" x14ac:dyDescent="0.25">
      <c r="A15" s="3" t="s">
        <v>94</v>
      </c>
      <c r="B15" s="4">
        <v>5</v>
      </c>
      <c r="C15" s="4">
        <v>100</v>
      </c>
      <c r="D15" s="4">
        <v>25</v>
      </c>
      <c r="E15" s="3">
        <v>0.84012622513421564</v>
      </c>
    </row>
    <row r="16" spans="1:5" x14ac:dyDescent="0.25">
      <c r="A16" s="3" t="s">
        <v>94</v>
      </c>
      <c r="B16" s="4">
        <v>5</v>
      </c>
      <c r="C16" s="4">
        <v>100</v>
      </c>
      <c r="D16" s="4">
        <v>30</v>
      </c>
      <c r="E16" s="3">
        <v>0.70524862630350782</v>
      </c>
    </row>
    <row r="17" spans="1:5" x14ac:dyDescent="0.25">
      <c r="A17" s="3" t="s">
        <v>94</v>
      </c>
      <c r="B17" s="4">
        <v>0</v>
      </c>
      <c r="C17" s="4">
        <v>100</v>
      </c>
      <c r="D17" s="4">
        <v>17</v>
      </c>
      <c r="E17" s="3">
        <v>0.5700497228926924</v>
      </c>
    </row>
    <row r="18" spans="1:5" x14ac:dyDescent="0.25">
      <c r="A18" s="3" t="s">
        <v>94</v>
      </c>
      <c r="B18" s="4">
        <v>0</v>
      </c>
      <c r="C18" s="4">
        <v>100</v>
      </c>
      <c r="D18" s="4">
        <v>25</v>
      </c>
      <c r="E18" s="3">
        <v>0.82661676212181745</v>
      </c>
    </row>
    <row r="19" spans="1:5" x14ac:dyDescent="0.25">
      <c r="A19" s="3" t="s">
        <v>94</v>
      </c>
      <c r="B19" s="4">
        <v>0</v>
      </c>
      <c r="C19" s="4">
        <v>100</v>
      </c>
      <c r="D19" s="4">
        <v>30</v>
      </c>
      <c r="E19" s="3">
        <v>0.90713349509606644</v>
      </c>
    </row>
    <row r="20" spans="1:5" x14ac:dyDescent="0.25">
      <c r="A20" s="3" t="s">
        <v>94</v>
      </c>
      <c r="B20" s="4">
        <v>50</v>
      </c>
      <c r="C20" s="4">
        <v>90</v>
      </c>
      <c r="D20" s="4">
        <v>17</v>
      </c>
      <c r="E20" s="3">
        <v>1.2991629784774201</v>
      </c>
    </row>
    <row r="21" spans="1:5" x14ac:dyDescent="0.25">
      <c r="A21" s="3" t="s">
        <v>94</v>
      </c>
      <c r="B21" s="4">
        <v>50</v>
      </c>
      <c r="C21" s="4">
        <v>90</v>
      </c>
      <c r="D21" s="4">
        <v>25</v>
      </c>
      <c r="E21" s="3">
        <v>1.0391822168993909</v>
      </c>
    </row>
    <row r="22" spans="1:5" x14ac:dyDescent="0.25">
      <c r="A22" s="3" t="s">
        <v>94</v>
      </c>
      <c r="B22" s="4">
        <v>50</v>
      </c>
      <c r="C22" s="4">
        <v>90</v>
      </c>
      <c r="D22" s="4">
        <v>30</v>
      </c>
      <c r="E22" s="3">
        <v>1.0640318110809481</v>
      </c>
    </row>
    <row r="23" spans="1:5" x14ac:dyDescent="0.25">
      <c r="A23" s="3" t="s">
        <v>94</v>
      </c>
      <c r="B23" s="4">
        <v>25</v>
      </c>
      <c r="C23" s="4">
        <v>90</v>
      </c>
      <c r="D23" s="4">
        <v>17</v>
      </c>
      <c r="E23" s="3">
        <v>1.5005227362337843</v>
      </c>
    </row>
    <row r="24" spans="1:5" x14ac:dyDescent="0.25">
      <c r="A24" s="3" t="s">
        <v>94</v>
      </c>
      <c r="B24" s="4">
        <v>25</v>
      </c>
      <c r="C24" s="4">
        <v>90</v>
      </c>
      <c r="D24" s="4">
        <v>25</v>
      </c>
      <c r="E24" s="3">
        <v>0.64470129360374395</v>
      </c>
    </row>
    <row r="25" spans="1:5" x14ac:dyDescent="0.25">
      <c r="A25" s="3" t="s">
        <v>94</v>
      </c>
      <c r="B25" s="4">
        <v>25</v>
      </c>
      <c r="C25" s="4">
        <v>90</v>
      </c>
      <c r="D25" s="4">
        <v>30</v>
      </c>
      <c r="E25" s="3">
        <v>1.4548277924871202</v>
      </c>
    </row>
    <row r="26" spans="1:5" x14ac:dyDescent="0.25">
      <c r="A26" s="3" t="s">
        <v>94</v>
      </c>
      <c r="B26" s="4">
        <v>15</v>
      </c>
      <c r="C26" s="4">
        <v>90</v>
      </c>
      <c r="D26" s="4">
        <v>17</v>
      </c>
      <c r="E26" s="3">
        <v>0.58618824005664039</v>
      </c>
    </row>
    <row r="27" spans="1:5" x14ac:dyDescent="0.25">
      <c r="A27" s="3" t="s">
        <v>94</v>
      </c>
      <c r="B27" s="4">
        <v>15</v>
      </c>
      <c r="C27" s="4">
        <v>90</v>
      </c>
      <c r="D27" s="4">
        <v>25</v>
      </c>
      <c r="E27" s="3">
        <v>0.88366086342247452</v>
      </c>
    </row>
    <row r="28" spans="1:5" x14ac:dyDescent="0.25">
      <c r="A28" s="3" t="s">
        <v>94</v>
      </c>
      <c r="B28" s="4">
        <v>15</v>
      </c>
      <c r="C28" s="4">
        <v>90</v>
      </c>
      <c r="D28" s="4">
        <v>30</v>
      </c>
      <c r="E28" s="3">
        <v>0.87068996277145272</v>
      </c>
    </row>
    <row r="29" spans="1:5" x14ac:dyDescent="0.25">
      <c r="A29" s="3" t="s">
        <v>94</v>
      </c>
      <c r="B29" s="4">
        <v>10</v>
      </c>
      <c r="C29" s="4">
        <v>90</v>
      </c>
      <c r="D29" s="4">
        <v>17</v>
      </c>
      <c r="E29" s="3">
        <v>1.0420788245442298</v>
      </c>
    </row>
    <row r="30" spans="1:5" x14ac:dyDescent="0.25">
      <c r="A30" s="3" t="s">
        <v>94</v>
      </c>
      <c r="B30" s="4">
        <v>10</v>
      </c>
      <c r="C30" s="4">
        <v>90</v>
      </c>
      <c r="D30" s="4">
        <v>25</v>
      </c>
      <c r="E30" s="3">
        <v>0.94439401909988319</v>
      </c>
    </row>
    <row r="31" spans="1:5" x14ac:dyDescent="0.25">
      <c r="A31" s="3" t="s">
        <v>94</v>
      </c>
      <c r="B31" s="4">
        <v>10</v>
      </c>
      <c r="C31" s="4">
        <v>90</v>
      </c>
      <c r="D31" s="4">
        <v>30</v>
      </c>
      <c r="E31" s="3">
        <v>0.97205592432898746</v>
      </c>
    </row>
    <row r="32" spans="1:5" x14ac:dyDescent="0.25">
      <c r="A32" s="3" t="s">
        <v>94</v>
      </c>
      <c r="B32" s="4">
        <v>5</v>
      </c>
      <c r="C32" s="4">
        <v>90</v>
      </c>
      <c r="D32" s="4">
        <v>17</v>
      </c>
      <c r="E32" s="3">
        <v>0.65088822705975802</v>
      </c>
    </row>
    <row r="33" spans="1:5" x14ac:dyDescent="0.25">
      <c r="A33" s="3" t="s">
        <v>94</v>
      </c>
      <c r="B33" s="4">
        <v>5</v>
      </c>
      <c r="C33" s="4">
        <v>90</v>
      </c>
      <c r="D33" s="4">
        <v>25</v>
      </c>
      <c r="E33" s="3">
        <v>0.85667526883113077</v>
      </c>
    </row>
    <row r="34" spans="1:5" x14ac:dyDescent="0.25">
      <c r="A34" s="3" t="s">
        <v>94</v>
      </c>
      <c r="B34" s="4">
        <v>5</v>
      </c>
      <c r="C34" s="4">
        <v>90</v>
      </c>
      <c r="D34" s="4">
        <v>30</v>
      </c>
      <c r="E34" s="3">
        <v>0.46665137254901956</v>
      </c>
    </row>
    <row r="35" spans="1:5" x14ac:dyDescent="0.25">
      <c r="A35" s="3" t="s">
        <v>94</v>
      </c>
      <c r="B35" s="4">
        <v>0</v>
      </c>
      <c r="C35" s="4">
        <v>90</v>
      </c>
      <c r="D35" s="4">
        <v>17</v>
      </c>
      <c r="E35" s="3">
        <v>0.58835769883386702</v>
      </c>
    </row>
    <row r="36" spans="1:5" x14ac:dyDescent="0.25">
      <c r="A36" s="3" t="s">
        <v>94</v>
      </c>
      <c r="B36" s="4">
        <v>0</v>
      </c>
      <c r="C36" s="4">
        <v>90</v>
      </c>
      <c r="D36" s="4">
        <v>25</v>
      </c>
      <c r="E36" s="3">
        <v>0.72152910906739365</v>
      </c>
    </row>
    <row r="37" spans="1:5" x14ac:dyDescent="0.25">
      <c r="A37" s="3" t="s">
        <v>94</v>
      </c>
      <c r="B37" s="4">
        <v>0</v>
      </c>
      <c r="C37" s="4">
        <v>90</v>
      </c>
      <c r="D37" s="4">
        <v>30</v>
      </c>
      <c r="E37" s="3">
        <v>1.0689749177046481</v>
      </c>
    </row>
    <row r="38" spans="1:5" x14ac:dyDescent="0.25">
      <c r="A38" s="3" t="s">
        <v>95</v>
      </c>
      <c r="B38" s="4">
        <v>50</v>
      </c>
      <c r="C38" s="4">
        <v>100</v>
      </c>
      <c r="D38" s="4">
        <v>17</v>
      </c>
      <c r="E38" s="3">
        <v>3.7563795728216371</v>
      </c>
    </row>
    <row r="39" spans="1:5" x14ac:dyDescent="0.25">
      <c r="A39" s="3" t="s">
        <v>95</v>
      </c>
      <c r="B39" s="4">
        <v>50</v>
      </c>
      <c r="C39" s="4">
        <v>100</v>
      </c>
      <c r="D39" s="4">
        <v>25</v>
      </c>
      <c r="E39" s="3">
        <v>3.9201194074340142</v>
      </c>
    </row>
    <row r="40" spans="1:5" x14ac:dyDescent="0.25">
      <c r="A40" s="3" t="s">
        <v>95</v>
      </c>
      <c r="B40" s="4">
        <v>50</v>
      </c>
      <c r="C40" s="4">
        <v>100</v>
      </c>
      <c r="D40" s="4">
        <v>30</v>
      </c>
      <c r="E40" s="3">
        <v>2.3598615686274504</v>
      </c>
    </row>
    <row r="41" spans="1:5" x14ac:dyDescent="0.25">
      <c r="A41" s="3" t="s">
        <v>95</v>
      </c>
      <c r="B41" s="4">
        <v>25</v>
      </c>
      <c r="C41" s="4">
        <v>100</v>
      </c>
      <c r="D41" s="4">
        <v>17</v>
      </c>
      <c r="E41" s="3">
        <v>2.0725688941923157</v>
      </c>
    </row>
    <row r="42" spans="1:5" x14ac:dyDescent="0.25">
      <c r="A42" s="3" t="s">
        <v>95</v>
      </c>
      <c r="B42" s="4">
        <v>25</v>
      </c>
      <c r="C42" s="4">
        <v>100</v>
      </c>
      <c r="D42" s="4">
        <v>25</v>
      </c>
      <c r="E42" s="3">
        <v>2.6820770504879485</v>
      </c>
    </row>
    <row r="43" spans="1:5" x14ac:dyDescent="0.25">
      <c r="A43" s="3" t="s">
        <v>95</v>
      </c>
      <c r="B43" s="4">
        <v>25</v>
      </c>
      <c r="C43" s="4">
        <v>100</v>
      </c>
      <c r="D43" s="4">
        <v>30</v>
      </c>
      <c r="E43" s="3">
        <v>3.0094200756984786</v>
      </c>
    </row>
    <row r="44" spans="1:5" x14ac:dyDescent="0.25">
      <c r="A44" s="3" t="s">
        <v>95</v>
      </c>
      <c r="B44" s="4">
        <v>15</v>
      </c>
      <c r="C44" s="4">
        <v>100</v>
      </c>
      <c r="D44" s="4">
        <v>17</v>
      </c>
      <c r="E44" s="3">
        <v>1.8768141125498954</v>
      </c>
    </row>
    <row r="45" spans="1:5" x14ac:dyDescent="0.25">
      <c r="A45" s="3" t="s">
        <v>95</v>
      </c>
      <c r="B45" s="4">
        <v>15</v>
      </c>
      <c r="C45" s="4">
        <v>100</v>
      </c>
      <c r="D45" s="4">
        <v>25</v>
      </c>
      <c r="E45" s="3">
        <v>2.2036007602988485</v>
      </c>
    </row>
    <row r="46" spans="1:5" x14ac:dyDescent="0.25">
      <c r="A46" s="3" t="s">
        <v>95</v>
      </c>
      <c r="B46" s="4">
        <v>15</v>
      </c>
      <c r="C46" s="4">
        <v>100</v>
      </c>
      <c r="D46" s="4">
        <v>30</v>
      </c>
      <c r="E46" s="3">
        <v>0.5352209660539009</v>
      </c>
    </row>
    <row r="47" spans="1:5" x14ac:dyDescent="0.25">
      <c r="A47" s="3" t="s">
        <v>95</v>
      </c>
      <c r="B47" s="4">
        <v>10</v>
      </c>
      <c r="C47" s="4">
        <v>100</v>
      </c>
      <c r="D47" s="4">
        <v>17</v>
      </c>
      <c r="E47" s="3">
        <v>1.5257981130059446</v>
      </c>
    </row>
    <row r="48" spans="1:5" x14ac:dyDescent="0.25">
      <c r="A48" s="3" t="s">
        <v>95</v>
      </c>
      <c r="B48" s="4">
        <v>10</v>
      </c>
      <c r="C48" s="4">
        <v>100</v>
      </c>
      <c r="D48" s="4">
        <v>25</v>
      </c>
      <c r="E48" s="3">
        <v>1.5178214010812767</v>
      </c>
    </row>
    <row r="49" spans="1:5" x14ac:dyDescent="0.25">
      <c r="A49" s="3" t="s">
        <v>95</v>
      </c>
      <c r="B49" s="4">
        <v>10</v>
      </c>
      <c r="C49" s="4">
        <v>100</v>
      </c>
      <c r="D49" s="4">
        <v>30</v>
      </c>
      <c r="E49" s="3">
        <v>2.2313573621680218</v>
      </c>
    </row>
    <row r="50" spans="1:5" x14ac:dyDescent="0.25">
      <c r="A50" s="3" t="s">
        <v>95</v>
      </c>
      <c r="B50" s="4">
        <v>5</v>
      </c>
      <c r="C50" s="4">
        <v>100</v>
      </c>
      <c r="D50" s="4">
        <v>17</v>
      </c>
      <c r="E50" s="3">
        <v>1.2520239261455526</v>
      </c>
    </row>
    <row r="51" spans="1:5" x14ac:dyDescent="0.25">
      <c r="A51" s="3" t="s">
        <v>95</v>
      </c>
      <c r="B51" s="4">
        <v>5</v>
      </c>
      <c r="C51" s="4">
        <v>100</v>
      </c>
      <c r="D51" s="4">
        <v>25</v>
      </c>
      <c r="E51" s="3">
        <v>1.3068992782221878</v>
      </c>
    </row>
    <row r="52" spans="1:5" x14ac:dyDescent="0.25">
      <c r="A52" s="3" t="s">
        <v>95</v>
      </c>
      <c r="B52" s="4">
        <v>5</v>
      </c>
      <c r="C52" s="4">
        <v>100</v>
      </c>
      <c r="D52" s="4">
        <v>30</v>
      </c>
      <c r="E52" s="3">
        <v>1.9465389596709888</v>
      </c>
    </row>
    <row r="53" spans="1:5" x14ac:dyDescent="0.25">
      <c r="A53" s="3" t="s">
        <v>95</v>
      </c>
      <c r="B53" s="4">
        <v>0</v>
      </c>
      <c r="C53" s="4">
        <v>100</v>
      </c>
      <c r="D53" s="4">
        <v>17</v>
      </c>
      <c r="E53" s="3">
        <v>0.53255058823529422</v>
      </c>
    </row>
    <row r="54" spans="1:5" x14ac:dyDescent="0.25">
      <c r="A54" s="3" t="s">
        <v>95</v>
      </c>
      <c r="B54" s="4">
        <v>0</v>
      </c>
      <c r="C54" s="4">
        <v>100</v>
      </c>
      <c r="D54" s="4">
        <v>25</v>
      </c>
      <c r="E54" s="3">
        <v>0.63018438209418681</v>
      </c>
    </row>
    <row r="55" spans="1:5" x14ac:dyDescent="0.25">
      <c r="A55" s="3" t="s">
        <v>95</v>
      </c>
      <c r="B55" s="4">
        <v>0</v>
      </c>
      <c r="C55" s="4">
        <v>100</v>
      </c>
      <c r="D55" s="4">
        <v>30</v>
      </c>
      <c r="E55" s="3">
        <v>1.1458766801227607</v>
      </c>
    </row>
    <row r="56" spans="1:5" x14ac:dyDescent="0.25">
      <c r="A56" s="3" t="s">
        <v>95</v>
      </c>
      <c r="B56" s="4">
        <v>50</v>
      </c>
      <c r="C56" s="4">
        <v>90</v>
      </c>
      <c r="D56" s="4">
        <v>17</v>
      </c>
      <c r="E56" s="3">
        <v>2.6279055932599023</v>
      </c>
    </row>
    <row r="57" spans="1:5" x14ac:dyDescent="0.25">
      <c r="A57" s="3" t="s">
        <v>95</v>
      </c>
      <c r="B57" s="4">
        <v>50</v>
      </c>
      <c r="C57" s="4">
        <v>90</v>
      </c>
      <c r="D57" s="4">
        <v>25</v>
      </c>
      <c r="E57" s="3">
        <v>3.5750397097590687</v>
      </c>
    </row>
    <row r="58" spans="1:5" x14ac:dyDescent="0.25">
      <c r="A58" s="3" t="s">
        <v>95</v>
      </c>
      <c r="B58" s="4">
        <v>50</v>
      </c>
      <c r="C58" s="4">
        <v>90</v>
      </c>
      <c r="D58" s="4">
        <v>30</v>
      </c>
      <c r="E58" s="3">
        <v>2.8437081200839076</v>
      </c>
    </row>
    <row r="59" spans="1:5" x14ac:dyDescent="0.25">
      <c r="A59" s="3" t="s">
        <v>95</v>
      </c>
      <c r="B59" s="4">
        <v>25</v>
      </c>
      <c r="C59" s="4">
        <v>90</v>
      </c>
      <c r="D59" s="4">
        <v>17</v>
      </c>
      <c r="E59" s="3">
        <v>3.0713464791946015</v>
      </c>
    </row>
    <row r="60" spans="1:5" x14ac:dyDescent="0.25">
      <c r="A60" s="3" t="s">
        <v>95</v>
      </c>
      <c r="B60" s="4">
        <v>25</v>
      </c>
      <c r="C60" s="4">
        <v>90</v>
      </c>
      <c r="D60" s="4">
        <v>25</v>
      </c>
      <c r="E60" s="3">
        <v>2.4915974509803922</v>
      </c>
    </row>
    <row r="61" spans="1:5" x14ac:dyDescent="0.25">
      <c r="A61" s="3" t="s">
        <v>95</v>
      </c>
      <c r="B61" s="4">
        <v>25</v>
      </c>
      <c r="C61" s="4">
        <v>90</v>
      </c>
      <c r="D61" s="4">
        <v>30</v>
      </c>
      <c r="E61" s="3">
        <v>3.3221849890934925</v>
      </c>
    </row>
    <row r="62" spans="1:5" x14ac:dyDescent="0.25">
      <c r="A62" s="3" t="s">
        <v>95</v>
      </c>
      <c r="B62" s="4">
        <v>15</v>
      </c>
      <c r="C62" s="4">
        <v>90</v>
      </c>
      <c r="D62" s="4">
        <v>17</v>
      </c>
      <c r="E62" s="3">
        <v>1.2561104992424437</v>
      </c>
    </row>
    <row r="63" spans="1:5" x14ac:dyDescent="0.25">
      <c r="A63" s="3" t="s">
        <v>95</v>
      </c>
      <c r="B63" s="4">
        <v>15</v>
      </c>
      <c r="C63" s="4">
        <v>90</v>
      </c>
      <c r="D63" s="4">
        <v>25</v>
      </c>
      <c r="E63" s="3">
        <v>1.7209025681447656</v>
      </c>
    </row>
    <row r="64" spans="1:5" x14ac:dyDescent="0.25">
      <c r="A64" s="3" t="s">
        <v>95</v>
      </c>
      <c r="B64" s="4">
        <v>15</v>
      </c>
      <c r="C64" s="4">
        <v>90</v>
      </c>
      <c r="D64" s="4">
        <v>30</v>
      </c>
      <c r="E64" s="3">
        <v>3.2997994060893774</v>
      </c>
    </row>
    <row r="65" spans="1:5" x14ac:dyDescent="0.25">
      <c r="A65" s="3" t="s">
        <v>95</v>
      </c>
      <c r="B65" s="4">
        <v>10</v>
      </c>
      <c r="C65" s="4">
        <v>90</v>
      </c>
      <c r="D65" s="4">
        <v>17</v>
      </c>
      <c r="E65" s="3">
        <v>1.8219351841685956</v>
      </c>
    </row>
    <row r="66" spans="1:5" x14ac:dyDescent="0.25">
      <c r="A66" s="3" t="s">
        <v>95</v>
      </c>
      <c r="B66" s="4">
        <v>10</v>
      </c>
      <c r="C66" s="4">
        <v>90</v>
      </c>
      <c r="D66" s="4">
        <v>25</v>
      </c>
      <c r="E66" s="3">
        <v>1.7800068579088575</v>
      </c>
    </row>
    <row r="67" spans="1:5" x14ac:dyDescent="0.25">
      <c r="A67" s="3" t="s">
        <v>95</v>
      </c>
      <c r="B67" s="4">
        <v>10</v>
      </c>
      <c r="C67" s="4">
        <v>90</v>
      </c>
      <c r="D67" s="4">
        <v>30</v>
      </c>
      <c r="E67" s="3">
        <v>1.7188609862598438</v>
      </c>
    </row>
    <row r="68" spans="1:5" x14ac:dyDescent="0.25">
      <c r="A68" s="3" t="s">
        <v>95</v>
      </c>
      <c r="B68" s="4">
        <v>5</v>
      </c>
      <c r="C68" s="4">
        <v>90</v>
      </c>
      <c r="D68" s="4">
        <v>17</v>
      </c>
      <c r="E68" s="3">
        <v>0.75294392156862722</v>
      </c>
    </row>
    <row r="69" spans="1:5" x14ac:dyDescent="0.25">
      <c r="A69" s="3" t="s">
        <v>95</v>
      </c>
      <c r="B69" s="4">
        <v>5</v>
      </c>
      <c r="C69" s="4">
        <v>90</v>
      </c>
      <c r="D69" s="4">
        <v>25</v>
      </c>
      <c r="E69" s="3">
        <v>1.2055672703391616</v>
      </c>
    </row>
    <row r="70" spans="1:5" x14ac:dyDescent="0.25">
      <c r="A70" s="3" t="s">
        <v>95</v>
      </c>
      <c r="B70" s="4">
        <v>5</v>
      </c>
      <c r="C70" s="4">
        <v>90</v>
      </c>
      <c r="D70" s="4">
        <v>30</v>
      </c>
      <c r="E70" s="3">
        <v>2.3635082296380867</v>
      </c>
    </row>
    <row r="71" spans="1:5" x14ac:dyDescent="0.25">
      <c r="A71" s="3" t="s">
        <v>95</v>
      </c>
      <c r="B71" s="4">
        <v>0</v>
      </c>
      <c r="C71" s="4">
        <v>90</v>
      </c>
      <c r="D71" s="4">
        <v>17</v>
      </c>
      <c r="E71" s="3">
        <v>0.81704588235294096</v>
      </c>
    </row>
    <row r="72" spans="1:5" x14ac:dyDescent="0.25">
      <c r="A72" s="3" t="s">
        <v>95</v>
      </c>
      <c r="B72" s="4">
        <v>0</v>
      </c>
      <c r="C72" s="4">
        <v>90</v>
      </c>
      <c r="D72" s="4">
        <v>25</v>
      </c>
      <c r="E72" s="3">
        <v>0.66332669402334354</v>
      </c>
    </row>
    <row r="73" spans="1:5" x14ac:dyDescent="0.25">
      <c r="A73" s="3" t="s">
        <v>95</v>
      </c>
      <c r="B73" s="4">
        <v>0</v>
      </c>
      <c r="C73" s="4">
        <v>90</v>
      </c>
      <c r="D73" s="4">
        <v>30</v>
      </c>
      <c r="E73" s="3">
        <v>1.3428411802363232</v>
      </c>
    </row>
    <row r="74" spans="1:5" x14ac:dyDescent="0.25">
      <c r="B74" s="21" t="s">
        <v>107</v>
      </c>
      <c r="E74" s="5"/>
    </row>
    <row r="75" spans="1:5" x14ac:dyDescent="0.25">
      <c r="E75" s="5"/>
    </row>
    <row r="76" spans="1:5" x14ac:dyDescent="0.25">
      <c r="E76" s="5"/>
    </row>
    <row r="77" spans="1:5" x14ac:dyDescent="0.25">
      <c r="E77" s="5"/>
    </row>
    <row r="78" spans="1:5" x14ac:dyDescent="0.25">
      <c r="E78" s="5"/>
    </row>
    <row r="79" spans="1:5" x14ac:dyDescent="0.25">
      <c r="E79" s="5"/>
    </row>
    <row r="80" spans="1:5" x14ac:dyDescent="0.25">
      <c r="E80" s="5"/>
    </row>
    <row r="81" spans="5:5" x14ac:dyDescent="0.25">
      <c r="E81" s="5"/>
    </row>
    <row r="82" spans="5:5" x14ac:dyDescent="0.25">
      <c r="E82" s="5"/>
    </row>
    <row r="83" spans="5:5" x14ac:dyDescent="0.25">
      <c r="E83" s="5"/>
    </row>
    <row r="84" spans="5:5" x14ac:dyDescent="0.25">
      <c r="E84" s="5"/>
    </row>
    <row r="85" spans="5:5" x14ac:dyDescent="0.25">
      <c r="E85" s="5"/>
    </row>
    <row r="86" spans="5:5" x14ac:dyDescent="0.25">
      <c r="E86" s="5"/>
    </row>
    <row r="87" spans="5:5" x14ac:dyDescent="0.25">
      <c r="E87" s="5"/>
    </row>
    <row r="88" spans="5:5" x14ac:dyDescent="0.25">
      <c r="E88" s="5"/>
    </row>
    <row r="89" spans="5:5" x14ac:dyDescent="0.25">
      <c r="E89" s="5"/>
    </row>
    <row r="90" spans="5:5" x14ac:dyDescent="0.25">
      <c r="E90" s="5"/>
    </row>
    <row r="91" spans="5:5" x14ac:dyDescent="0.25">
      <c r="E91" s="5"/>
    </row>
    <row r="92" spans="5:5" x14ac:dyDescent="0.25">
      <c r="E92" s="5"/>
    </row>
    <row r="93" spans="5:5" x14ac:dyDescent="0.25">
      <c r="E93" s="5"/>
    </row>
    <row r="94" spans="5:5" x14ac:dyDescent="0.25">
      <c r="E94" s="5"/>
    </row>
    <row r="95" spans="5:5" x14ac:dyDescent="0.25">
      <c r="E95" s="5"/>
    </row>
    <row r="96" spans="5:5" x14ac:dyDescent="0.25">
      <c r="E96" s="5"/>
    </row>
    <row r="97" spans="5:5" x14ac:dyDescent="0.25">
      <c r="E97" s="5"/>
    </row>
    <row r="98" spans="5:5" x14ac:dyDescent="0.25">
      <c r="E98" s="5"/>
    </row>
    <row r="99" spans="5:5" x14ac:dyDescent="0.25">
      <c r="E99" s="5"/>
    </row>
    <row r="100" spans="5:5" x14ac:dyDescent="0.25">
      <c r="E100" s="5"/>
    </row>
    <row r="101" spans="5:5" x14ac:dyDescent="0.25">
      <c r="E101" s="5"/>
    </row>
    <row r="102" spans="5:5" x14ac:dyDescent="0.25">
      <c r="E102" s="5"/>
    </row>
    <row r="103" spans="5:5" x14ac:dyDescent="0.25">
      <c r="E103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Raw原始数据</vt:lpstr>
      <vt:lpstr>CorrRate</vt:lpstr>
      <vt:lpstr>CorrRavg</vt:lpstr>
      <vt:lpstr>Lab&amp;Field data</vt:lpstr>
      <vt:lpstr>SP1B data</vt:lpstr>
      <vt:lpstr>ANN performance</vt:lpstr>
      <vt:lpstr>MultiReg</vt:lpstr>
      <vt:lpstr>ANN sensitivity</vt:lpstr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Guangming Jiang</dc:creator>
  <cp:lastModifiedBy>KJ W</cp:lastModifiedBy>
  <dcterms:created xsi:type="dcterms:W3CDTF">2014-11-19T02:07:37Z</dcterms:created>
  <dcterms:modified xsi:type="dcterms:W3CDTF">2025-01-15T11:49:31Z</dcterms:modified>
</cp:coreProperties>
</file>