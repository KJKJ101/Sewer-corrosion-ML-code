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tiff" ContentType="image/tif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ml.chartshapes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ml.chartshapes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 Files\Writings\WR_ANN prediction of sewer corrosion\ANN tin\"/>
    </mc:Choice>
  </mc:AlternateContent>
  <bookViews>
    <workbookView xWindow="0" yWindow="0" windowWidth="29070" windowHeight="15870" firstSheet="1" activeTab="9"/>
  </bookViews>
  <sheets>
    <sheet name="Boxplots" sheetId="1" r:id="rId1"/>
    <sheet name="ANOVA" sheetId="2" r:id="rId2"/>
    <sheet name="Tree model" sheetId="3" r:id="rId3"/>
    <sheet name="Data" sheetId="4" r:id="rId4"/>
    <sheet name="Tindata" sheetId="5" r:id="rId5"/>
    <sheet name="Sheet1" sheetId="6" r:id="rId6"/>
    <sheet name="Field data validation" sheetId="7" r:id="rId7"/>
    <sheet name="Multi-Reg" sheetId="8" r:id="rId8"/>
    <sheet name="ANN sensitivity" sheetId="10" r:id="rId9"/>
    <sheet name="Sensitivity graph" sheetId="12" r:id="rId10"/>
  </sheets>
  <externalReferences>
    <externalReference r:id="rId11"/>
  </externalReferences>
  <calcPr calcId="152511"/>
</workbook>
</file>

<file path=xl/calcChain.xml><?xml version="1.0" encoding="utf-8"?>
<calcChain xmlns="http://schemas.openxmlformats.org/spreadsheetml/2006/main">
  <c r="F6" i="7" l="1"/>
  <c r="F3" i="7"/>
  <c r="F4" i="7"/>
  <c r="F5" i="7"/>
  <c r="F7" i="7"/>
  <c r="F8" i="7"/>
  <c r="F9" i="7"/>
  <c r="F2" i="7"/>
  <c r="M24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2" i="5"/>
</calcChain>
</file>

<file path=xl/sharedStrings.xml><?xml version="1.0" encoding="utf-8"?>
<sst xmlns="http://schemas.openxmlformats.org/spreadsheetml/2006/main" count="177" uniqueCount="57">
  <si>
    <t>Tin1 ~ H2S + RH + T</t>
  </si>
  <si>
    <t>RSS</t>
  </si>
  <si>
    <t>AIC</t>
  </si>
  <si>
    <t>F value</t>
  </si>
  <si>
    <t>Pr(&gt;F)</t>
  </si>
  <si>
    <t>H2S</t>
  </si>
  <si>
    <t>**</t>
  </si>
  <si>
    <t>RH</t>
  </si>
  <si>
    <t>***</t>
  </si>
  <si>
    <t>T</t>
  </si>
  <si>
    <t>1    332.48</t>
  </si>
  <si>
    <t>1      3.68</t>
  </si>
  <si>
    <t>1    302.44</t>
  </si>
  <si>
    <t>Tin1 ~ H2S + T</t>
  </si>
  <si>
    <t>Gas-phase sewer concrete</t>
  </si>
  <si>
    <t>Factors</t>
  </si>
  <si>
    <t>Df</t>
  </si>
  <si>
    <t>Sum of Sq</t>
  </si>
  <si>
    <t>Significance</t>
  </si>
  <si>
    <t>Partially-submerged concrete sewer</t>
  </si>
  <si>
    <t>Significance codes based on the Pr value:</t>
  </si>
  <si>
    <t>0-0.001: ***,</t>
  </si>
  <si>
    <t xml:space="preserve">0.001-0.01: **, 0.01-0.05: *, 0.05-0.1: ., 0.1-1: NA </t>
  </si>
  <si>
    <t>Location</t>
  </si>
  <si>
    <t>Tin1</t>
  </si>
  <si>
    <t>Sewage</t>
  </si>
  <si>
    <t>gas</t>
  </si>
  <si>
    <t>Tin</t>
  </si>
  <si>
    <t>Temp</t>
  </si>
  <si>
    <t>RelHum</t>
  </si>
  <si>
    <t>Site</t>
  </si>
  <si>
    <t>Perth MS</t>
  </si>
  <si>
    <t>Perth Bibra</t>
  </si>
  <si>
    <t>Melb. WTS</t>
  </si>
  <si>
    <t>Melb. SETS</t>
  </si>
  <si>
    <t>tin</t>
  </si>
  <si>
    <t>Coefficients:</t>
  </si>
  <si>
    <t>---</t>
  </si>
  <si>
    <t>Signif. codes:  0 ‘***’ 0.001 ‘**’ 0.01 ‘*’ 0.05 ‘.’ 0.1 ‘ ’ 1</t>
  </si>
  <si>
    <t>Residual standard error: 5.943 on 55 degrees of freedom</t>
  </si>
  <si>
    <t xml:space="preserve">  (12 observations deleted due to missingness)</t>
  </si>
  <si>
    <t xml:space="preserve">Multiple R-squared:  0.5444,    Adjusted R-squared:  0.5113 </t>
  </si>
  <si>
    <t>F-statistic: 16.43 on 4 and 55 DF,  p-value: 6.52e-09</t>
  </si>
  <si>
    <t>Estimate</t>
  </si>
  <si>
    <t>Std. Error</t>
  </si>
  <si>
    <t>t value</t>
  </si>
  <si>
    <t>Pr(&gt;|t|)</t>
  </si>
  <si>
    <t>(Intercept)</t>
  </si>
  <si>
    <t>*</t>
  </si>
  <si>
    <t>Tin-MR predicts</t>
  </si>
  <si>
    <t>r=</t>
  </si>
  <si>
    <t>MR</t>
  </si>
  <si>
    <t>MR-GPC</t>
  </si>
  <si>
    <t>MR-PSC</t>
  </si>
  <si>
    <t>ANN-GPC</t>
  </si>
  <si>
    <t>ANN-PSC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</si>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</sst>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/>
    <xf numFmtId="11" fontId="0" fillId="0" borderId="1" xfId="0" applyNumberFormat="1" applyFont="1" applyBorder="1"/>
    <xf numFmtId="0" fontId="1" fillId="0" borderId="0" xfId="0" applyFont="1"/>
    <xf numFmtId="0" fontId="2" fillId="0" borderId="0" xfId="0" applyFont="1"/>
    <xf numFmtId="11" fontId="0" fillId="0" borderId="0" xfId="0" applyNumberFormat="1"/>
    <xf numFmtId="164" fontId="0" fillId="0" borderId="0" xfId="0" applyNumberFormat="1"/>
    <xf numFmtId="2" fontId="3" fillId="0" borderId="1" xfId="0" applyNumberFormat="1" applyFont="1" applyBorder="1"/>
    <xf numFmtId="1" fontId="3" fillId="0" borderId="1" xfId="0" applyNumberFormat="1" applyFont="1" applyBorder="1"/>
    <xf numFmtId="1" fontId="3" fillId="0" borderId="5" xfId="0" applyNumberFormat="1" applyFont="1" applyFill="1" applyBorder="1"/>
    <xf numFmtId="165" fontId="0" fillId="0" borderId="0" xfId="0" applyNumberFormat="1"/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"/>
            <c:backward val="10"/>
            <c:dispRSqr val="1"/>
            <c:dispEq val="0"/>
            <c:trendlineLbl>
              <c:layout>
                <c:manualLayout>
                  <c:x val="-0.29575000000000001"/>
                  <c:y val="1.95779124731710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Tindata!$E$2:$E$61</c:f>
              <c:numCache>
                <c:formatCode>0.0</c:formatCode>
                <c:ptCount val="60"/>
                <c:pt idx="0">
                  <c:v>44.076114924758656</c:v>
                </c:pt>
                <c:pt idx="1">
                  <c:v>27.553987608618694</c:v>
                </c:pt>
                <c:pt idx="2">
                  <c:v>39.102058125822872</c:v>
                </c:pt>
                <c:pt idx="3">
                  <c:v>38.907942426929395</c:v>
                </c:pt>
                <c:pt idx="4">
                  <c:v>36.733598749608831</c:v>
                </c:pt>
                <c:pt idx="5">
                  <c:v>17.57071662400854</c:v>
                </c:pt>
                <c:pt idx="6">
                  <c:v>28.948758922600923</c:v>
                </c:pt>
                <c:pt idx="7">
                  <c:v>26.468056415918262</c:v>
                </c:pt>
                <c:pt idx="8">
                  <c:v>20.623108006640138</c:v>
                </c:pt>
                <c:pt idx="9">
                  <c:v>29.583761479678795</c:v>
                </c:pt>
                <c:pt idx="10">
                  <c:v>20.494604155587865</c:v>
                </c:pt>
                <c:pt idx="11">
                  <c:v>22.149807844348263</c:v>
                </c:pt>
                <c:pt idx="12">
                  <c:v>30.151636499741151</c:v>
                </c:pt>
                <c:pt idx="13">
                  <c:v>22.389000686029284</c:v>
                </c:pt>
                <c:pt idx="14">
                  <c:v>15.44064196365353</c:v>
                </c:pt>
                <c:pt idx="15">
                  <c:v>29.863113926591673</c:v>
                </c:pt>
                <c:pt idx="16">
                  <c:v>21.767543626336916</c:v>
                </c:pt>
                <c:pt idx="17">
                  <c:v>11.000833472245374</c:v>
                </c:pt>
                <c:pt idx="18">
                  <c:v>24.906970936207657</c:v>
                </c:pt>
                <c:pt idx="19">
                  <c:v>18.953398075968401</c:v>
                </c:pt>
                <c:pt idx="20">
                  <c:v>9.6519281865976794</c:v>
                </c:pt>
                <c:pt idx="21">
                  <c:v>25.01255807183523</c:v>
                </c:pt>
                <c:pt idx="22">
                  <c:v>19.55192701693262</c:v>
                </c:pt>
                <c:pt idx="23">
                  <c:v>8.6406432723457378</c:v>
                </c:pt>
                <c:pt idx="24">
                  <c:v>24.533665304096733</c:v>
                </c:pt>
                <c:pt idx="25">
                  <c:v>15.949187125649971</c:v>
                </c:pt>
                <c:pt idx="26">
                  <c:v>8.1174104070721498</c:v>
                </c:pt>
                <c:pt idx="27">
                  <c:v>25.956495006994544</c:v>
                </c:pt>
                <c:pt idx="28">
                  <c:v>17.789829200038596</c:v>
                </c:pt>
                <c:pt idx="29">
                  <c:v>7.6481026218565873</c:v>
                </c:pt>
                <c:pt idx="30">
                  <c:v>35.665817072055646</c:v>
                </c:pt>
                <c:pt idx="31">
                  <c:v>37.582783347377173</c:v>
                </c:pt>
                <c:pt idx="32">
                  <c:v>18.422484545139888</c:v>
                </c:pt>
                <c:pt idx="33">
                  <c:v>17.406388267051874</c:v>
                </c:pt>
                <c:pt idx="34">
                  <c:v>17.861875856311098</c:v>
                </c:pt>
                <c:pt idx="35">
                  <c:v>14.59879774475033</c:v>
                </c:pt>
                <c:pt idx="36">
                  <c:v>26.354532999117044</c:v>
                </c:pt>
                <c:pt idx="37">
                  <c:v>19.829193836797909</c:v>
                </c:pt>
                <c:pt idx="38">
                  <c:v>13.896692559864119</c:v>
                </c:pt>
                <c:pt idx="39">
                  <c:v>21.648386475636087</c:v>
                </c:pt>
                <c:pt idx="40">
                  <c:v>13.906291309537202</c:v>
                </c:pt>
                <c:pt idx="41">
                  <c:v>13.921715638291323</c:v>
                </c:pt>
                <c:pt idx="42">
                  <c:v>21.228593318388047</c:v>
                </c:pt>
                <c:pt idx="43">
                  <c:v>13.971720670382201</c:v>
                </c:pt>
                <c:pt idx="44">
                  <c:v>13.333333333333334</c:v>
                </c:pt>
                <c:pt idx="45">
                  <c:v>27.702759134582802</c:v>
                </c:pt>
                <c:pt idx="46">
                  <c:v>19.216374006092384</c:v>
                </c:pt>
                <c:pt idx="47">
                  <c:v>15.969622345487462</c:v>
                </c:pt>
                <c:pt idx="48">
                  <c:v>25.884911430349334</c:v>
                </c:pt>
                <c:pt idx="49">
                  <c:v>34.574667526128671</c:v>
                </c:pt>
                <c:pt idx="50">
                  <c:v>25.457699550286765</c:v>
                </c:pt>
                <c:pt idx="51">
                  <c:v>16.063875041674077</c:v>
                </c:pt>
                <c:pt idx="52">
                  <c:v>17.29611786501318</c:v>
                </c:pt>
                <c:pt idx="53">
                  <c:v>11.084721057439532</c:v>
                </c:pt>
                <c:pt idx="54">
                  <c:v>25.485997066253489</c:v>
                </c:pt>
                <c:pt idx="55">
                  <c:v>16.716251207894082</c:v>
                </c:pt>
                <c:pt idx="56">
                  <c:v>12.819963797666203</c:v>
                </c:pt>
                <c:pt idx="57">
                  <c:v>13.380571005082963</c:v>
                </c:pt>
                <c:pt idx="58">
                  <c:v>17.142857142857142</c:v>
                </c:pt>
                <c:pt idx="59">
                  <c:v>10.210424563901572</c:v>
                </c:pt>
              </c:numCache>
            </c:numRef>
          </c:xVal>
          <c:yVal>
            <c:numRef>
              <c:f>Tindata!$F$2:$F$61</c:f>
              <c:numCache>
                <c:formatCode>General</c:formatCode>
                <c:ptCount val="60"/>
                <c:pt idx="0">
                  <c:v>32.789369999999991</c:v>
                </c:pt>
                <c:pt idx="1">
                  <c:v>26.106729999999995</c:v>
                </c:pt>
                <c:pt idx="2">
                  <c:v>21.930079999999997</c:v>
                </c:pt>
                <c:pt idx="3">
                  <c:v>31.868269999999985</c:v>
                </c:pt>
                <c:pt idx="4">
                  <c:v>25.185629999999986</c:v>
                </c:pt>
                <c:pt idx="5">
                  <c:v>21.008979999999987</c:v>
                </c:pt>
                <c:pt idx="6">
                  <c:v>30.947169999999989</c:v>
                </c:pt>
                <c:pt idx="7">
                  <c:v>24.26452999999999</c:v>
                </c:pt>
                <c:pt idx="8">
                  <c:v>20.087879999999991</c:v>
                </c:pt>
                <c:pt idx="9">
                  <c:v>29.104969999999984</c:v>
                </c:pt>
                <c:pt idx="10">
                  <c:v>22.422329999999985</c:v>
                </c:pt>
                <c:pt idx="11">
                  <c:v>18.245679999999986</c:v>
                </c:pt>
                <c:pt idx="12">
                  <c:v>24.499469999999992</c:v>
                </c:pt>
                <c:pt idx="13">
                  <c:v>17.816829999999992</c:v>
                </c:pt>
                <c:pt idx="14">
                  <c:v>13.640179999999994</c:v>
                </c:pt>
                <c:pt idx="15">
                  <c:v>27.408669999999997</c:v>
                </c:pt>
                <c:pt idx="16">
                  <c:v>20.726029999999998</c:v>
                </c:pt>
                <c:pt idx="17">
                  <c:v>16.549379999999999</c:v>
                </c:pt>
                <c:pt idx="18">
                  <c:v>26.487569999999987</c:v>
                </c:pt>
                <c:pt idx="19">
                  <c:v>19.804929999999988</c:v>
                </c:pt>
                <c:pt idx="20">
                  <c:v>15.62827999999999</c:v>
                </c:pt>
                <c:pt idx="21">
                  <c:v>25.566469999999992</c:v>
                </c:pt>
                <c:pt idx="22">
                  <c:v>18.883829999999993</c:v>
                </c:pt>
                <c:pt idx="23">
                  <c:v>14.707179999999994</c:v>
                </c:pt>
                <c:pt idx="24">
                  <c:v>23.724269999999986</c:v>
                </c:pt>
                <c:pt idx="25">
                  <c:v>17.041629999999987</c:v>
                </c:pt>
                <c:pt idx="26">
                  <c:v>12.864979999999989</c:v>
                </c:pt>
                <c:pt idx="27">
                  <c:v>19.118769999999994</c:v>
                </c:pt>
                <c:pt idx="28">
                  <c:v>12.436129999999995</c:v>
                </c:pt>
                <c:pt idx="29">
                  <c:v>8.2594799999999964</c:v>
                </c:pt>
                <c:pt idx="30">
                  <c:v>34.472109999999986</c:v>
                </c:pt>
                <c:pt idx="31">
                  <c:v>27.789469999999991</c:v>
                </c:pt>
                <c:pt idx="32">
                  <c:v>23.612819999999992</c:v>
                </c:pt>
                <c:pt idx="33">
                  <c:v>33.551009999999977</c:v>
                </c:pt>
                <c:pt idx="34">
                  <c:v>26.868369999999981</c:v>
                </c:pt>
                <c:pt idx="35">
                  <c:v>22.691719999999982</c:v>
                </c:pt>
                <c:pt idx="36">
                  <c:v>32.629909999999981</c:v>
                </c:pt>
                <c:pt idx="37">
                  <c:v>25.947269999999985</c:v>
                </c:pt>
                <c:pt idx="38">
                  <c:v>21.770619999999987</c:v>
                </c:pt>
                <c:pt idx="39">
                  <c:v>30.787709999999979</c:v>
                </c:pt>
                <c:pt idx="40">
                  <c:v>24.10506999999998</c:v>
                </c:pt>
                <c:pt idx="41">
                  <c:v>19.928419999999981</c:v>
                </c:pt>
                <c:pt idx="42">
                  <c:v>26.182209999999987</c:v>
                </c:pt>
                <c:pt idx="43">
                  <c:v>19.499569999999988</c:v>
                </c:pt>
                <c:pt idx="44">
                  <c:v>15.322919999999989</c:v>
                </c:pt>
                <c:pt idx="45">
                  <c:v>29.091409999999993</c:v>
                </c:pt>
                <c:pt idx="46">
                  <c:v>22.408769999999993</c:v>
                </c:pt>
                <c:pt idx="47">
                  <c:v>18.232119999999995</c:v>
                </c:pt>
                <c:pt idx="48">
                  <c:v>28.170309999999983</c:v>
                </c:pt>
                <c:pt idx="49">
                  <c:v>21.487669999999984</c:v>
                </c:pt>
                <c:pt idx="50">
                  <c:v>17.311019999999985</c:v>
                </c:pt>
                <c:pt idx="51">
                  <c:v>27.249209999999987</c:v>
                </c:pt>
                <c:pt idx="52">
                  <c:v>20.566569999999988</c:v>
                </c:pt>
                <c:pt idx="53">
                  <c:v>16.389919999999989</c:v>
                </c:pt>
                <c:pt idx="54">
                  <c:v>25.407009999999982</c:v>
                </c:pt>
                <c:pt idx="55">
                  <c:v>18.724369999999983</c:v>
                </c:pt>
                <c:pt idx="56">
                  <c:v>14.547719999999984</c:v>
                </c:pt>
                <c:pt idx="57">
                  <c:v>20.80150999999999</c:v>
                </c:pt>
                <c:pt idx="58">
                  <c:v>14.11886999999999</c:v>
                </c:pt>
                <c:pt idx="59">
                  <c:v>9.9422199999999918</c:v>
                </c:pt>
              </c:numCache>
            </c:numRef>
          </c:yVal>
          <c:smooth val="0"/>
        </c:ser>
        <c:ser>
          <c:idx val="2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50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43240"/>
        <c:axId val="412198704"/>
      </c:scatterChart>
      <c:valAx>
        <c:axId val="11034324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198704"/>
        <c:crosses val="autoZero"/>
        <c:crossBetween val="midCat"/>
      </c:valAx>
      <c:valAx>
        <c:axId val="412198704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43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361748259728407E-2"/>
          <c:y val="5.1400554097404488E-2"/>
          <c:w val="0.80800058095504856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Sheet1!$A$1:$A$30</c:f>
              <c:numCache>
                <c:formatCode>General</c:formatCode>
                <c:ptCount val="30"/>
                <c:pt idx="0">
                  <c:v>44.033874709478702</c:v>
                </c:pt>
                <c:pt idx="1">
                  <c:v>36.016398892758801</c:v>
                </c:pt>
                <c:pt idx="2">
                  <c:v>31.7962704035493</c:v>
                </c:pt>
                <c:pt idx="3">
                  <c:v>36.071793211129098</c:v>
                </c:pt>
                <c:pt idx="4">
                  <c:v>29.615572375220001</c:v>
                </c:pt>
                <c:pt idx="5">
                  <c:v>26.411353429446699</c:v>
                </c:pt>
                <c:pt idx="6">
                  <c:v>29.2340381160375</c:v>
                </c:pt>
                <c:pt idx="7">
                  <c:v>24.809312963003901</c:v>
                </c:pt>
                <c:pt idx="8">
                  <c:v>22.5271661959166</c:v>
                </c:pt>
                <c:pt idx="9">
                  <c:v>29.432169550139999</c:v>
                </c:pt>
                <c:pt idx="10">
                  <c:v>18.261396149438699</c:v>
                </c:pt>
                <c:pt idx="11">
                  <c:v>18.027674578747501</c:v>
                </c:pt>
                <c:pt idx="12">
                  <c:v>52.102577276304999</c:v>
                </c:pt>
                <c:pt idx="13">
                  <c:v>41.916319859085398</c:v>
                </c:pt>
                <c:pt idx="14">
                  <c:v>15.0161303422485</c:v>
                </c:pt>
                <c:pt idx="15">
                  <c:v>28.123659760066602</c:v>
                </c:pt>
                <c:pt idx="16">
                  <c:v>22.272414700382299</c:v>
                </c:pt>
                <c:pt idx="17">
                  <c:v>10.6000356507622</c:v>
                </c:pt>
                <c:pt idx="18">
                  <c:v>26.875539918455299</c:v>
                </c:pt>
                <c:pt idx="19">
                  <c:v>21.111067193205098</c:v>
                </c:pt>
                <c:pt idx="20">
                  <c:v>10.0523044633713</c:v>
                </c:pt>
                <c:pt idx="21">
                  <c:v>25.210527439134299</c:v>
                </c:pt>
                <c:pt idx="22">
                  <c:v>19.7762649586879</c:v>
                </c:pt>
                <c:pt idx="23">
                  <c:v>9.4794997845469702</c:v>
                </c:pt>
                <c:pt idx="24">
                  <c:v>24.473213807376201</c:v>
                </c:pt>
                <c:pt idx="25">
                  <c:v>15.5860287913605</c:v>
                </c:pt>
                <c:pt idx="26">
                  <c:v>7.6010385348163299</c:v>
                </c:pt>
                <c:pt idx="27">
                  <c:v>32.769059515515799</c:v>
                </c:pt>
                <c:pt idx="28">
                  <c:v>17.1953723890323</c:v>
                </c:pt>
                <c:pt idx="29">
                  <c:v>-2.6296970524086301</c:v>
                </c:pt>
              </c:numCache>
            </c:numRef>
          </c:xVal>
          <c:yVal>
            <c:numRef>
              <c:f>Sheet1!$B$1:$B$30</c:f>
              <c:numCache>
                <c:formatCode>General</c:formatCode>
                <c:ptCount val="30"/>
                <c:pt idx="0">
                  <c:v>44.076114920000002</c:v>
                </c:pt>
                <c:pt idx="1">
                  <c:v>27.55398761</c:v>
                </c:pt>
                <c:pt idx="2">
                  <c:v>39.102058130000003</c:v>
                </c:pt>
                <c:pt idx="3">
                  <c:v>38.907942429999999</c:v>
                </c:pt>
                <c:pt idx="4">
                  <c:v>36.733598749999999</c:v>
                </c:pt>
                <c:pt idx="5">
                  <c:v>17.570716619999999</c:v>
                </c:pt>
                <c:pt idx="6">
                  <c:v>28.94875892</c:v>
                </c:pt>
                <c:pt idx="7">
                  <c:v>26.46805642</c:v>
                </c:pt>
                <c:pt idx="8">
                  <c:v>20.623108009999999</c:v>
                </c:pt>
                <c:pt idx="9">
                  <c:v>29.58376148</c:v>
                </c:pt>
                <c:pt idx="10">
                  <c:v>20.494604160000002</c:v>
                </c:pt>
                <c:pt idx="11">
                  <c:v>22.149807840000001</c:v>
                </c:pt>
                <c:pt idx="12">
                  <c:v>30.151636499999999</c:v>
                </c:pt>
                <c:pt idx="13">
                  <c:v>22.38900069</c:v>
                </c:pt>
                <c:pt idx="14">
                  <c:v>15.440641960000001</c:v>
                </c:pt>
                <c:pt idx="15">
                  <c:v>29.863113930000001</c:v>
                </c:pt>
                <c:pt idx="16">
                  <c:v>21.767543629999999</c:v>
                </c:pt>
                <c:pt idx="17">
                  <c:v>11.00083347</c:v>
                </c:pt>
                <c:pt idx="18">
                  <c:v>24.906970940000001</c:v>
                </c:pt>
                <c:pt idx="19">
                  <c:v>18.953398079999999</c:v>
                </c:pt>
                <c:pt idx="20">
                  <c:v>9.6519281869999993</c:v>
                </c:pt>
                <c:pt idx="21">
                  <c:v>25.012558070000001</c:v>
                </c:pt>
                <c:pt idx="22">
                  <c:v>19.551927020000001</c:v>
                </c:pt>
                <c:pt idx="23">
                  <c:v>8.6406432720000002</c:v>
                </c:pt>
                <c:pt idx="24">
                  <c:v>24.533665299999999</c:v>
                </c:pt>
                <c:pt idx="25">
                  <c:v>15.94918713</c:v>
                </c:pt>
                <c:pt idx="26">
                  <c:v>8.1174104069999995</c:v>
                </c:pt>
                <c:pt idx="27">
                  <c:v>25.956495010000001</c:v>
                </c:pt>
                <c:pt idx="28">
                  <c:v>17.7898292</c:v>
                </c:pt>
                <c:pt idx="29">
                  <c:v>7.6481026219999997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60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199488"/>
        <c:axId val="412199880"/>
      </c:scatterChart>
      <c:valAx>
        <c:axId val="412199488"/>
        <c:scaling>
          <c:orientation val="minMax"/>
          <c:max val="6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412199880"/>
        <c:crosses val="autoZero"/>
        <c:crossBetween val="midCat"/>
      </c:valAx>
      <c:valAx>
        <c:axId val="412199880"/>
        <c:scaling>
          <c:orientation val="minMax"/>
          <c:max val="6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21994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748556430446192"/>
          <c:y val="0.14776428988043161"/>
          <c:w val="0.1953399105744193"/>
          <c:h val="0.149754976280138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92753846945602"/>
          <c:y val="4.6318396683518441E-2"/>
          <c:w val="0.76870799238330512"/>
          <c:h val="0.75738767948124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'Field data validation'!$K$1</c:f>
              <c:strCache>
                <c:ptCount val="1"/>
                <c:pt idx="0">
                  <c:v>ANN-GPC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validation'!$K$2:$K$5</c:f>
              <c:numCache>
                <c:formatCode>General</c:formatCode>
                <c:ptCount val="4"/>
                <c:pt idx="0">
                  <c:v>12.438126</c:v>
                </c:pt>
                <c:pt idx="1">
                  <c:v>11.628356999999999</c:v>
                </c:pt>
                <c:pt idx="2">
                  <c:v>23.122686000000002</c:v>
                </c:pt>
                <c:pt idx="3">
                  <c:v>24.388462000000001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'Field data validation'!$L$1</c:f>
              <c:strCache>
                <c:ptCount val="1"/>
                <c:pt idx="0">
                  <c:v>ANN-PSC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validation'!$L$2:$L$5</c:f>
              <c:numCache>
                <c:formatCode>General</c:formatCode>
                <c:ptCount val="4"/>
                <c:pt idx="0">
                  <c:v>11.373367999999999</c:v>
                </c:pt>
                <c:pt idx="1">
                  <c:v>11.641386000000001</c:v>
                </c:pt>
                <c:pt idx="2">
                  <c:v>19.42379</c:v>
                </c:pt>
                <c:pt idx="3">
                  <c:v>20.769117000000001</c:v>
                </c:pt>
              </c:numCache>
            </c:numRef>
          </c:yVal>
          <c:smooth val="0"/>
        </c:ser>
        <c:ser>
          <c:idx val="2"/>
          <c:order val="2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1"/>
        </c:ser>
        <c:ser>
          <c:idx val="3"/>
          <c:order val="3"/>
          <c:tx>
            <c:strRef>
              <c:f>'Field data validation'!$M$1</c:f>
              <c:strCache>
                <c:ptCount val="1"/>
                <c:pt idx="0">
                  <c:v>MR-GPC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validation'!$M$2:$M$5</c:f>
              <c:numCache>
                <c:formatCode>General</c:formatCode>
                <c:ptCount val="4"/>
                <c:pt idx="0">
                  <c:v>25.742200000000018</c:v>
                </c:pt>
                <c:pt idx="1">
                  <c:v>27.268600000000013</c:v>
                </c:pt>
                <c:pt idx="2">
                  <c:v>4.2748000000000133</c:v>
                </c:pt>
                <c:pt idx="3">
                  <c:v>-72.00439999999999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'Field data validation'!$N$1</c:f>
              <c:strCache>
                <c:ptCount val="1"/>
                <c:pt idx="0">
                  <c:v>MR-PSC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validation'!$N$2:$N$5</c:f>
              <c:numCache>
                <c:formatCode>General</c:formatCode>
                <c:ptCount val="4"/>
                <c:pt idx="0">
                  <c:v>22.382200000000005</c:v>
                </c:pt>
                <c:pt idx="1">
                  <c:v>23.9086</c:v>
                </c:pt>
                <c:pt idx="2">
                  <c:v>0.91479999999999961</c:v>
                </c:pt>
                <c:pt idx="3">
                  <c:v>-75.364400000000003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00664"/>
        <c:axId val="412201056"/>
      </c:scatterChart>
      <c:valAx>
        <c:axId val="412200664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t</a:t>
                </a:r>
                <a:r>
                  <a:rPr lang="en-US" baseline="-25000"/>
                  <a:t>i</a:t>
                </a:r>
                <a:r>
                  <a:rPr lang="en-US"/>
                  <a:t> (month, field measurements)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12201056"/>
        <c:crosses val="autoZero"/>
        <c:crossBetween val="midCat"/>
      </c:valAx>
      <c:valAx>
        <c:axId val="412201056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1" u="none" strike="noStrike" baseline="0">
                    <a:effectLst/>
                  </a:rPr>
                  <a:t>t</a:t>
                </a:r>
                <a:r>
                  <a:rPr lang="en-US" sz="1000" b="1" i="0" u="none" strike="noStrike" baseline="-25000">
                    <a:effectLst/>
                  </a:rPr>
                  <a:t>i</a:t>
                </a:r>
                <a:r>
                  <a:rPr lang="en-US" sz="1000" b="1" i="0" u="none" strike="noStrike" baseline="0">
                    <a:effectLst/>
                  </a:rPr>
                  <a:t> </a:t>
                </a:r>
                <a:r>
                  <a:rPr lang="en-US"/>
                  <a:t> (month, model predictions)</a:t>
                </a:r>
                <a:endParaRPr lang="en-A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1220066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4453888116926561"/>
          <c:y val="0.45350603737709683"/>
          <c:w val="0.2730217178735011"/>
          <c:h val="0.29013900338269993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92753846945602"/>
          <c:y val="0.13558827374751697"/>
          <c:w val="0.76870799238330512"/>
          <c:h val="0.72882148435248484"/>
        </c:manualLayout>
      </c:layout>
      <c:scatterChart>
        <c:scatterStyle val="lineMarker"/>
        <c:varyColors val="0"/>
        <c:ser>
          <c:idx val="0"/>
          <c:order val="0"/>
          <c:tx>
            <c:v>ANN model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validation'!$K$2:$K$5</c:f>
              <c:numCache>
                <c:formatCode>General</c:formatCode>
                <c:ptCount val="4"/>
                <c:pt idx="0">
                  <c:v>12.438126</c:v>
                </c:pt>
                <c:pt idx="1">
                  <c:v>11.628356999999999</c:v>
                </c:pt>
                <c:pt idx="2">
                  <c:v>23.122686000000002</c:v>
                </c:pt>
                <c:pt idx="3">
                  <c:v>24.388462000000001</c:v>
                </c:pt>
              </c:numCache>
            </c:numRef>
          </c:yVal>
          <c:smooth val="0"/>
        </c:ser>
        <c:ser>
          <c:idx val="2"/>
          <c:order val="1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1"/>
        </c:ser>
        <c:ser>
          <c:idx val="3"/>
          <c:order val="2"/>
          <c:tx>
            <c:v>MR model</c:v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validation'!$M$2:$M$5</c:f>
              <c:numCache>
                <c:formatCode>General</c:formatCode>
                <c:ptCount val="4"/>
                <c:pt idx="0">
                  <c:v>25.742200000000018</c:v>
                </c:pt>
                <c:pt idx="1">
                  <c:v>27.268600000000013</c:v>
                </c:pt>
                <c:pt idx="2">
                  <c:v>4.2748000000000133</c:v>
                </c:pt>
                <c:pt idx="3">
                  <c:v>-72.00439999999999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01840"/>
        <c:axId val="412202232"/>
      </c:scatterChart>
      <c:valAx>
        <c:axId val="412201840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t</a:t>
                </a:r>
                <a:r>
                  <a:rPr lang="en-US" baseline="-25000"/>
                  <a:t>i</a:t>
                </a:r>
                <a:r>
                  <a:rPr lang="en-US"/>
                  <a:t> (month, field measurements)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12202232"/>
        <c:crosses val="autoZero"/>
        <c:crossBetween val="midCat"/>
      </c:valAx>
      <c:valAx>
        <c:axId val="412202232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1" u="none" strike="noStrike" baseline="0">
                    <a:effectLst/>
                  </a:rPr>
                  <a:t>t</a:t>
                </a:r>
                <a:r>
                  <a:rPr lang="en-US" sz="1000" b="1" i="0" u="none" strike="noStrike" baseline="-25000">
                    <a:effectLst/>
                  </a:rPr>
                  <a:t>i</a:t>
                </a:r>
                <a:r>
                  <a:rPr lang="en-US" sz="1000" b="1" i="0" u="none" strike="noStrike" baseline="0">
                    <a:effectLst/>
                  </a:rPr>
                  <a:t> </a:t>
                </a:r>
                <a:r>
                  <a:rPr lang="en-US"/>
                  <a:t> (month, model predictions)</a:t>
                </a:r>
                <a:endParaRPr lang="en-A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1220184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6741469816272969"/>
          <c:y val="1.9914891463419754E-2"/>
          <c:w val="0.76975374401729191"/>
          <c:h val="9.3745633161682343E-2"/>
        </c:manualLayout>
      </c:layout>
      <c:overlay val="0"/>
      <c:spPr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'ANN sensitivity'!$B$2:$B$52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'ANN sensitivity'!$E$2:$E$52</c:f>
              <c:numCache>
                <c:formatCode>General</c:formatCode>
                <c:ptCount val="51"/>
                <c:pt idx="0">
                  <c:v>28.691487978197401</c:v>
                </c:pt>
                <c:pt idx="1">
                  <c:v>28.684235153896999</c:v>
                </c:pt>
                <c:pt idx="2">
                  <c:v>28.6721663084504</c:v>
                </c:pt>
                <c:pt idx="3">
                  <c:v>28.6564044115181</c:v>
                </c:pt>
                <c:pt idx="4">
                  <c:v>28.637154224368999</c:v>
                </c:pt>
                <c:pt idx="5">
                  <c:v>28.614169852068201</c:v>
                </c:pt>
                <c:pt idx="6">
                  <c:v>28.5869537475788</c:v>
                </c:pt>
                <c:pt idx="7">
                  <c:v>28.554834549977201</c:v>
                </c:pt>
                <c:pt idx="8">
                  <c:v>28.5169910288576</c:v>
                </c:pt>
                <c:pt idx="9">
                  <c:v>28.472451808338601</c:v>
                </c:pt>
                <c:pt idx="10">
                  <c:v>28.4200838767885</c:v>
                </c:pt>
                <c:pt idx="11">
                  <c:v>28.358575740842198</c:v>
                </c:pt>
                <c:pt idx="12">
                  <c:v>28.286418160051898</c:v>
                </c:pt>
                <c:pt idx="13">
                  <c:v>28.201884364681401</c:v>
                </c:pt>
                <c:pt idx="14">
                  <c:v>28.103011507240801</c:v>
                </c:pt>
                <c:pt idx="15">
                  <c:v>27.987585401247198</c:v>
                </c:pt>
                <c:pt idx="16">
                  <c:v>27.8531311745935</c:v>
                </c:pt>
                <c:pt idx="17">
                  <c:v>27.6969132170344</c:v>
                </c:pt>
                <c:pt idx="18">
                  <c:v>27.515948655107501</c:v>
                </c:pt>
                <c:pt idx="19">
                  <c:v>27.307039439553801</c:v>
                </c:pt>
                <c:pt idx="20">
                  <c:v>27.0668288182748</c:v>
                </c:pt>
                <c:pt idx="21">
                  <c:v>26.791888249994901</c:v>
                </c:pt>
                <c:pt idx="22">
                  <c:v>26.478840358352802</c:v>
                </c:pt>
                <c:pt idx="23">
                  <c:v>26.124521927862801</c:v>
                </c:pt>
                <c:pt idx="24">
                  <c:v>25.726187782113801</c:v>
                </c:pt>
                <c:pt idx="25">
                  <c:v>25.2817513450034</c:v>
                </c:pt>
                <c:pt idx="26">
                  <c:v>24.790050740939499</c:v>
                </c:pt>
                <c:pt idx="27">
                  <c:v>24.251120929222399</c:v>
                </c:pt>
                <c:pt idx="28">
                  <c:v>23.6664437969308</c:v>
                </c:pt>
                <c:pt idx="29">
                  <c:v>23.039141326647499</c:v>
                </c:pt>
                <c:pt idx="30">
                  <c:v>22.374074408514399</c:v>
                </c:pt>
                <c:pt idx="31">
                  <c:v>21.6778139763525</c:v>
                </c:pt>
                <c:pt idx="32">
                  <c:v>20.958463263825301</c:v>
                </c:pt>
                <c:pt idx="33">
                  <c:v>20.225329440994699</c:v>
                </c:pt>
                <c:pt idx="34">
                  <c:v>19.488466552989799</c:v>
                </c:pt>
                <c:pt idx="35">
                  <c:v>18.758134333121401</c:v>
                </c:pt>
                <c:pt idx="36">
                  <c:v>18.044233290733001</c:v>
                </c:pt>
                <c:pt idx="37">
                  <c:v>17.3557810699077</c:v>
                </c:pt>
                <c:pt idx="38">
                  <c:v>16.700487112672899</c:v>
                </c:pt>
                <c:pt idx="39">
                  <c:v>16.0844644225159</c:v>
                </c:pt>
                <c:pt idx="40">
                  <c:v>15.5120937020911</c:v>
                </c:pt>
                <c:pt idx="41">
                  <c:v>14.986032166531199</c:v>
                </c:pt>
                <c:pt idx="42">
                  <c:v>14.5073416543795</c:v>
                </c:pt>
                <c:pt idx="43">
                  <c:v>14.0757007275527</c:v>
                </c:pt>
                <c:pt idx="44">
                  <c:v>13.6896632794578</c:v>
                </c:pt>
                <c:pt idx="45">
                  <c:v>13.3469299791055</c:v>
                </c:pt>
                <c:pt idx="46">
                  <c:v>13.0446060858599</c:v>
                </c:pt>
                <c:pt idx="47">
                  <c:v>12.779427228773301</c:v>
                </c:pt>
                <c:pt idx="48">
                  <c:v>12.547941600559</c:v>
                </c:pt>
                <c:pt idx="49">
                  <c:v>12.3466411210186</c:v>
                </c:pt>
                <c:pt idx="50">
                  <c:v>12.1720340791349</c:v>
                </c:pt>
              </c:numCache>
            </c:numRef>
          </c:yVal>
          <c:smooth val="1"/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sensitivity'!$B$53:$B$103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'ANN sensitivity'!$E$53:$E$103</c:f>
              <c:numCache>
                <c:formatCode>General</c:formatCode>
                <c:ptCount val="51"/>
                <c:pt idx="0">
                  <c:v>27.7885469718324</c:v>
                </c:pt>
                <c:pt idx="1">
                  <c:v>27.8021271488265</c:v>
                </c:pt>
                <c:pt idx="2">
                  <c:v>27.833426145900599</c:v>
                </c:pt>
                <c:pt idx="3">
                  <c:v>27.899904644430599</c:v>
                </c:pt>
                <c:pt idx="4">
                  <c:v>28.023401090826901</c:v>
                </c:pt>
                <c:pt idx="5">
                  <c:v>28.2069761962128</c:v>
                </c:pt>
                <c:pt idx="6">
                  <c:v>28.406822179135599</c:v>
                </c:pt>
                <c:pt idx="7">
                  <c:v>28.562202356521301</c:v>
                </c:pt>
                <c:pt idx="8">
                  <c:v>28.653428089250401</c:v>
                </c:pt>
                <c:pt idx="9">
                  <c:v>28.6970534740883</c:v>
                </c:pt>
                <c:pt idx="10">
                  <c:v>28.714064022716599</c:v>
                </c:pt>
                <c:pt idx="11">
                  <c:v>28.717750836158299</c:v>
                </c:pt>
                <c:pt idx="12">
                  <c:v>28.714741946444299</c:v>
                </c:pt>
                <c:pt idx="13">
                  <c:v>28.707965958784701</c:v>
                </c:pt>
                <c:pt idx="14">
                  <c:v>28.6985694210221</c:v>
                </c:pt>
                <c:pt idx="15">
                  <c:v>28.686873908137802</c:v>
                </c:pt>
                <c:pt idx="16">
                  <c:v>28.6728093218798</c:v>
                </c:pt>
                <c:pt idx="17">
                  <c:v>28.6560997337196</c:v>
                </c:pt>
                <c:pt idx="18">
                  <c:v>28.6363380748937</c:v>
                </c:pt>
                <c:pt idx="19">
                  <c:v>28.613011489727199</c:v>
                </c:pt>
                <c:pt idx="20">
                  <c:v>28.5855044531136</c:v>
                </c:pt>
                <c:pt idx="21">
                  <c:v>28.553091358665402</c:v>
                </c:pt>
                <c:pt idx="22">
                  <c:v>28.514923617476398</c:v>
                </c:pt>
                <c:pt idx="23">
                  <c:v>28.470013485447499</c:v>
                </c:pt>
                <c:pt idx="24">
                  <c:v>28.417215707517698</c:v>
                </c:pt>
                <c:pt idx="25">
                  <c:v>28.355207703298799</c:v>
                </c:pt>
                <c:pt idx="26">
                  <c:v>28.282469030875699</c:v>
                </c:pt>
                <c:pt idx="27">
                  <c:v>28.197261097122599</c:v>
                </c:pt>
                <c:pt idx="28">
                  <c:v>28.097608476438801</c:v>
                </c:pt>
                <c:pt idx="29">
                  <c:v>27.981283736956598</c:v>
                </c:pt>
                <c:pt idx="30">
                  <c:v>27.845798344013499</c:v>
                </c:pt>
                <c:pt idx="31">
                  <c:v>27.6884029928604</c:v>
                </c:pt>
                <c:pt idx="32">
                  <c:v>27.5061015626484</c:v>
                </c:pt>
                <c:pt idx="33">
                  <c:v>27.295683674573901</c:v>
                </c:pt>
                <c:pt idx="34">
                  <c:v>27.0537813916063</c:v>
                </c:pt>
                <c:pt idx="35">
                  <c:v>26.776955619166699</c:v>
                </c:pt>
                <c:pt idx="36">
                  <c:v>26.461816821253901</c:v>
                </c:pt>
                <c:pt idx="37">
                  <c:v>26.1051821593162</c:v>
                </c:pt>
                <c:pt idx="38">
                  <c:v>25.704266318078002</c:v>
                </c:pt>
                <c:pt idx="39">
                  <c:v>25.256895129266798</c:v>
                </c:pt>
                <c:pt idx="40">
                  <c:v>24.761718394601498</c:v>
                </c:pt>
                <c:pt idx="41">
                  <c:v>24.218379323706301</c:v>
                </c:pt>
                <c:pt idx="42">
                  <c:v>23.6275701497363</c:v>
                </c:pt>
                <c:pt idx="43">
                  <c:v>22.990862999000399</c:v>
                </c:pt>
                <c:pt idx="44">
                  <c:v>22.310148754437702</c:v>
                </c:pt>
                <c:pt idx="45">
                  <c:v>21.586453194688701</c:v>
                </c:pt>
                <c:pt idx="46">
                  <c:v>20.8178938531101</c:v>
                </c:pt>
                <c:pt idx="47">
                  <c:v>19.9968354135883</c:v>
                </c:pt>
                <c:pt idx="48">
                  <c:v>19.1074870490799</c:v>
                </c:pt>
                <c:pt idx="49">
                  <c:v>18.127729650814299</c:v>
                </c:pt>
                <c:pt idx="50">
                  <c:v>17.0398587102713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03408"/>
        <c:axId val="412203800"/>
      </c:scatterChart>
      <c:valAx>
        <c:axId val="412203408"/>
        <c:scaling>
          <c:orientation val="minMax"/>
          <c:max val="5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H</a:t>
                </a:r>
                <a:r>
                  <a:rPr lang="en-US" baseline="-25000"/>
                  <a:t>2</a:t>
                </a:r>
                <a:r>
                  <a:rPr lang="en-US"/>
                  <a:t>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3800"/>
        <c:crosses val="autoZero"/>
        <c:crossBetween val="midCat"/>
        <c:majorUnit val="5"/>
      </c:valAx>
      <c:valAx>
        <c:axId val="412203800"/>
        <c:scaling>
          <c:orientation val="minMax"/>
          <c:max val="30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initiation time (month)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3408"/>
        <c:crosses val="autoZero"/>
        <c:crossBetween val="midCat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451344957591876"/>
          <c:y val="0.53333333333333333"/>
          <c:w val="0.40008725664510153"/>
          <c:h val="0.158373738493955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'ANN sensitivity'!$W$2:$W$22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'ANN sensitivity'!$Y$2:$Y$22</c:f>
              <c:numCache>
                <c:formatCode>General</c:formatCode>
                <c:ptCount val="21"/>
                <c:pt idx="0">
                  <c:v>27.432008164480301</c:v>
                </c:pt>
                <c:pt idx="1">
                  <c:v>27.362490550258599</c:v>
                </c:pt>
                <c:pt idx="2">
                  <c:v>27.289677295537999</c:v>
                </c:pt>
                <c:pt idx="3">
                  <c:v>27.2134469364136</c:v>
                </c:pt>
                <c:pt idx="4">
                  <c:v>27.133677187147999</c:v>
                </c:pt>
                <c:pt idx="5">
                  <c:v>27.0502453782284</c:v>
                </c:pt>
                <c:pt idx="6">
                  <c:v>26.963028941066099</c:v>
                </c:pt>
                <c:pt idx="7">
                  <c:v>26.8719059420091</c:v>
                </c:pt>
                <c:pt idx="8">
                  <c:v>26.776755667606601</c:v>
                </c:pt>
                <c:pt idx="9">
                  <c:v>26.677459262403701</c:v>
                </c:pt>
                <c:pt idx="10">
                  <c:v>26.5739004199019</c:v>
                </c:pt>
                <c:pt idx="11">
                  <c:v>26.465966126634601</c:v>
                </c:pt>
                <c:pt idx="12">
                  <c:v>26.353547458564599</c:v>
                </c:pt>
                <c:pt idx="13">
                  <c:v>26.236540428185201</c:v>
                </c:pt>
                <c:pt idx="14">
                  <c:v>26.114846879803601</c:v>
                </c:pt>
                <c:pt idx="15">
                  <c:v>25.988375429492802</c:v>
                </c:pt>
                <c:pt idx="16">
                  <c:v>25.8570424451283</c:v>
                </c:pt>
                <c:pt idx="17">
                  <c:v>25.720773060781099</c:v>
                </c:pt>
                <c:pt idx="18">
                  <c:v>25.5795022185373</c:v>
                </c:pt>
                <c:pt idx="19">
                  <c:v>25.433175729567498</c:v>
                </c:pt>
                <c:pt idx="20">
                  <c:v>25.2817513450034</c:v>
                </c:pt>
              </c:numCache>
            </c:numRef>
          </c:yVal>
          <c:smooth val="1"/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sensitivity'!$W$23:$W$43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'ANN sensitivity'!$Y$23:$Y$43</c:f>
              <c:numCache>
                <c:formatCode>General</c:formatCode>
                <c:ptCount val="21"/>
                <c:pt idx="0">
                  <c:v>28.623482296685399</c:v>
                </c:pt>
                <c:pt idx="1">
                  <c:v>28.617217304876601</c:v>
                </c:pt>
                <c:pt idx="2">
                  <c:v>28.609877482693999</c:v>
                </c:pt>
                <c:pt idx="3">
                  <c:v>28.601710840587099</c:v>
                </c:pt>
                <c:pt idx="4">
                  <c:v>28.592849488420701</c:v>
                </c:pt>
                <c:pt idx="5">
                  <c:v>28.583357733278199</c:v>
                </c:pt>
                <c:pt idx="6">
                  <c:v>28.573260106333599</c:v>
                </c:pt>
                <c:pt idx="7">
                  <c:v>28.562557575847801</c:v>
                </c:pt>
                <c:pt idx="8">
                  <c:v>28.5512368785195</c:v>
                </c:pt>
                <c:pt idx="9">
                  <c:v>28.539275865516</c:v>
                </c:pt>
                <c:pt idx="10">
                  <c:v>28.5266465479326</c:v>
                </c:pt>
                <c:pt idx="11">
                  <c:v>28.513316816469299</c:v>
                </c:pt>
                <c:pt idx="12">
                  <c:v>28.499251397654099</c:v>
                </c:pt>
                <c:pt idx="13">
                  <c:v>28.484412370474502</c:v>
                </c:pt>
                <c:pt idx="14">
                  <c:v>28.4687594298045</c:v>
                </c:pt>
                <c:pt idx="15">
                  <c:v>28.452250003881399</c:v>
                </c:pt>
                <c:pt idx="16">
                  <c:v>28.434839287593199</c:v>
                </c:pt>
                <c:pt idx="17">
                  <c:v>28.416480227204801</c:v>
                </c:pt>
                <c:pt idx="18">
                  <c:v>28.397123477153499</c:v>
                </c:pt>
                <c:pt idx="19">
                  <c:v>28.376717340948002</c:v>
                </c:pt>
                <c:pt idx="20">
                  <c:v>28.355207703298799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04584"/>
        <c:axId val="412204976"/>
      </c:scatterChart>
      <c:valAx>
        <c:axId val="412204584"/>
        <c:scaling>
          <c:orientation val="minMax"/>
          <c:max val="100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4976"/>
        <c:crosses val="autoZero"/>
        <c:crossBetween val="midCat"/>
      </c:valAx>
      <c:valAx>
        <c:axId val="412204976"/>
        <c:scaling>
          <c:orientation val="minMax"/>
          <c:max val="30"/>
          <c:min val="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baseline="0">
                    <a:effectLst/>
                  </a:rPr>
                  <a:t>Corrosion initiation time (month)</a:t>
                </a:r>
                <a:endParaRPr lang="en-AU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4584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754436293186312"/>
          <c:y val="0.59342723004694842"/>
          <c:w val="0.40767738947242593"/>
          <c:h val="0.14335026431555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'ANN sensitivity'!$R$2:$R$32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'ANN sensitivity'!$S$2:$S$32</c:f>
              <c:numCache>
                <c:formatCode>General</c:formatCode>
                <c:ptCount val="31"/>
                <c:pt idx="0">
                  <c:v>28.5829388194926</c:v>
                </c:pt>
                <c:pt idx="1">
                  <c:v>28.558639415879401</c:v>
                </c:pt>
                <c:pt idx="2">
                  <c:v>28.531149406481699</c:v>
                </c:pt>
                <c:pt idx="3">
                  <c:v>28.500062145504501</c:v>
                </c:pt>
                <c:pt idx="4">
                  <c:v>28.4649226216752</c:v>
                </c:pt>
                <c:pt idx="5">
                  <c:v>28.425222683446499</c:v>
                </c:pt>
                <c:pt idx="6">
                  <c:v>28.380396076491898</c:v>
                </c:pt>
                <c:pt idx="7">
                  <c:v>28.329813379881099</c:v>
                </c:pt>
                <c:pt idx="8">
                  <c:v>28.272776962989798</c:v>
                </c:pt>
                <c:pt idx="9">
                  <c:v>28.2085161293389</c:v>
                </c:pt>
                <c:pt idx="10">
                  <c:v>28.136182667178701</c:v>
                </c:pt>
                <c:pt idx="11">
                  <c:v>28.0548470904189</c:v>
                </c:pt>
                <c:pt idx="12">
                  <c:v>27.9634959276075</c:v>
                </c:pt>
                <c:pt idx="13">
                  <c:v>27.861030500309798</c:v>
                </c:pt>
                <c:pt idx="14">
                  <c:v>27.7462677232981</c:v>
                </c:pt>
                <c:pt idx="15">
                  <c:v>27.617943553362199</c:v>
                </c:pt>
                <c:pt idx="16">
                  <c:v>27.474719804604401</c:v>
                </c:pt>
                <c:pt idx="17">
                  <c:v>27.315195125808099</c:v>
                </c:pt>
                <c:pt idx="18">
                  <c:v>27.137920985963699</c:v>
                </c:pt>
                <c:pt idx="19">
                  <c:v>26.941423519074299</c:v>
                </c:pt>
                <c:pt idx="20">
                  <c:v>26.7242320165963</c:v>
                </c:pt>
                <c:pt idx="21">
                  <c:v>26.484914699750799</c:v>
                </c:pt>
                <c:pt idx="22">
                  <c:v>26.222122128077601</c:v>
                </c:pt>
                <c:pt idx="23">
                  <c:v>25.934638181567902</c:v>
                </c:pt>
                <c:pt idx="24">
                  <c:v>25.621437976873398</c:v>
                </c:pt>
                <c:pt idx="25">
                  <c:v>25.2817513450034</c:v>
                </c:pt>
                <c:pt idx="26">
                  <c:v>24.915129634785099</c:v>
                </c:pt>
                <c:pt idx="27">
                  <c:v>24.521512671763102</c:v>
                </c:pt>
                <c:pt idx="28">
                  <c:v>24.1012917918592</c:v>
                </c:pt>
                <c:pt idx="29">
                  <c:v>23.655364114357798</c:v>
                </c:pt>
                <c:pt idx="30">
                  <c:v>23.185172775942601</c:v>
                </c:pt>
              </c:numCache>
            </c:numRef>
          </c:yVal>
          <c:smooth val="1"/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sensitivity'!$R$33:$R$63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'ANN sensitivity'!$S$33:$S$63</c:f>
              <c:numCache>
                <c:formatCode>General</c:formatCode>
                <c:ptCount val="31"/>
                <c:pt idx="0">
                  <c:v>28.747683210174898</c:v>
                </c:pt>
                <c:pt idx="1">
                  <c:v>28.7452851493859</c:v>
                </c:pt>
                <c:pt idx="2">
                  <c:v>28.742564838809901</c:v>
                </c:pt>
                <c:pt idx="3">
                  <c:v>28.7394791232445</c:v>
                </c:pt>
                <c:pt idx="4">
                  <c:v>28.735979097230899</c:v>
                </c:pt>
                <c:pt idx="5">
                  <c:v>28.732009349957401</c:v>
                </c:pt>
                <c:pt idx="6">
                  <c:v>28.727507113625599</c:v>
                </c:pt>
                <c:pt idx="7">
                  <c:v>28.722401303810301</c:v>
                </c:pt>
                <c:pt idx="8">
                  <c:v>28.7166114392212</c:v>
                </c:pt>
                <c:pt idx="9">
                  <c:v>28.710046427106899</c:v>
                </c:pt>
                <c:pt idx="10">
                  <c:v>28.702603199377801</c:v>
                </c:pt>
                <c:pt idx="11">
                  <c:v>28.6941651833869</c:v>
                </c:pt>
                <c:pt idx="12">
                  <c:v>28.684600590255101</c:v>
                </c:pt>
                <c:pt idx="13">
                  <c:v>28.673760502744699</c:v>
                </c:pt>
                <c:pt idx="14">
                  <c:v>28.661476744047601</c:v>
                </c:pt>
                <c:pt idx="15">
                  <c:v>28.647559508623299</c:v>
                </c:pt>
                <c:pt idx="16">
                  <c:v>28.631794736542499</c:v>
                </c:pt>
                <c:pt idx="17">
                  <c:v>28.613941213901899</c:v>
                </c:pt>
                <c:pt idx="18">
                  <c:v>28.593727384048702</c:v>
                </c:pt>
                <c:pt idx="19">
                  <c:v>28.570847857943999</c:v>
                </c:pt>
                <c:pt idx="20">
                  <c:v>28.544959617441702</c:v>
                </c:pt>
                <c:pt idx="21">
                  <c:v>28.515677913104899</c:v>
                </c:pt>
                <c:pt idx="22">
                  <c:v>28.4825718690694</c:v>
                </c:pt>
                <c:pt idx="23">
                  <c:v>28.445159822168101</c:v>
                </c:pt>
                <c:pt idx="24">
                  <c:v>28.402904441943299</c:v>
                </c:pt>
                <c:pt idx="25">
                  <c:v>28.355207703298799</c:v>
                </c:pt>
                <c:pt idx="26">
                  <c:v>28.3014058154872</c:v>
                </c:pt>
                <c:pt idx="27">
                  <c:v>28.240764251001799</c:v>
                </c:pt>
                <c:pt idx="28">
                  <c:v>28.172473066841398</c:v>
                </c:pt>
                <c:pt idx="29">
                  <c:v>28.095642769388299</c:v>
                </c:pt>
                <c:pt idx="30">
                  <c:v>28.009301043248598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05760"/>
        <c:axId val="412206152"/>
      </c:scatterChart>
      <c:valAx>
        <c:axId val="412205760"/>
        <c:scaling>
          <c:orientation val="minMax"/>
          <c:max val="30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6152"/>
        <c:crosses val="autoZero"/>
        <c:crossBetween val="midCat"/>
      </c:valAx>
      <c:valAx>
        <c:axId val="412206152"/>
        <c:scaling>
          <c:orientation val="minMax"/>
          <c:max val="30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baseline="0">
                    <a:effectLst/>
                  </a:rPr>
                  <a:t>Corrosion initiation time (month)</a:t>
                </a:r>
                <a:endParaRPr lang="en-AU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5760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8308515989580998"/>
          <c:y val="0.49953051643192486"/>
          <c:w val="0.3393661940265057"/>
          <c:h val="0.15461786994935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1"/>
          <c:order val="0"/>
          <c:tx>
            <c:v>Gas phase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'ANN sensitivity'!$B$53:$B$103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'ANN sensitivity'!$E$53:$E$103</c:f>
              <c:numCache>
                <c:formatCode>General</c:formatCode>
                <c:ptCount val="51"/>
                <c:pt idx="0">
                  <c:v>27.7885469718324</c:v>
                </c:pt>
                <c:pt idx="1">
                  <c:v>27.8021271488265</c:v>
                </c:pt>
                <c:pt idx="2">
                  <c:v>27.833426145900599</c:v>
                </c:pt>
                <c:pt idx="3">
                  <c:v>27.899904644430599</c:v>
                </c:pt>
                <c:pt idx="4">
                  <c:v>28.023401090826901</c:v>
                </c:pt>
                <c:pt idx="5">
                  <c:v>28.2069761962128</c:v>
                </c:pt>
                <c:pt idx="6">
                  <c:v>28.406822179135599</c:v>
                </c:pt>
                <c:pt idx="7">
                  <c:v>28.562202356521301</c:v>
                </c:pt>
                <c:pt idx="8">
                  <c:v>28.653428089250401</c:v>
                </c:pt>
                <c:pt idx="9">
                  <c:v>28.6970534740883</c:v>
                </c:pt>
                <c:pt idx="10">
                  <c:v>28.714064022716599</c:v>
                </c:pt>
                <c:pt idx="11">
                  <c:v>28.717750836158299</c:v>
                </c:pt>
                <c:pt idx="12">
                  <c:v>28.714741946444299</c:v>
                </c:pt>
                <c:pt idx="13">
                  <c:v>28.707965958784701</c:v>
                </c:pt>
                <c:pt idx="14">
                  <c:v>28.6985694210221</c:v>
                </c:pt>
                <c:pt idx="15">
                  <c:v>28.686873908137802</c:v>
                </c:pt>
                <c:pt idx="16">
                  <c:v>28.6728093218798</c:v>
                </c:pt>
                <c:pt idx="17">
                  <c:v>28.6560997337196</c:v>
                </c:pt>
                <c:pt idx="18">
                  <c:v>28.6363380748937</c:v>
                </c:pt>
                <c:pt idx="19">
                  <c:v>28.613011489727199</c:v>
                </c:pt>
                <c:pt idx="20">
                  <c:v>28.5855044531136</c:v>
                </c:pt>
                <c:pt idx="21">
                  <c:v>28.553091358665402</c:v>
                </c:pt>
                <c:pt idx="22">
                  <c:v>28.514923617476398</c:v>
                </c:pt>
                <c:pt idx="23">
                  <c:v>28.470013485447499</c:v>
                </c:pt>
                <c:pt idx="24">
                  <c:v>28.417215707517698</c:v>
                </c:pt>
                <c:pt idx="25">
                  <c:v>28.355207703298799</c:v>
                </c:pt>
                <c:pt idx="26">
                  <c:v>28.282469030875699</c:v>
                </c:pt>
                <c:pt idx="27">
                  <c:v>28.197261097122599</c:v>
                </c:pt>
                <c:pt idx="28">
                  <c:v>28.097608476438801</c:v>
                </c:pt>
                <c:pt idx="29">
                  <c:v>27.981283736956598</c:v>
                </c:pt>
                <c:pt idx="30">
                  <c:v>27.845798344013499</c:v>
                </c:pt>
                <c:pt idx="31">
                  <c:v>27.6884029928604</c:v>
                </c:pt>
                <c:pt idx="32">
                  <c:v>27.5061015626484</c:v>
                </c:pt>
                <c:pt idx="33">
                  <c:v>27.295683674573901</c:v>
                </c:pt>
                <c:pt idx="34">
                  <c:v>27.0537813916063</c:v>
                </c:pt>
                <c:pt idx="35">
                  <c:v>26.776955619166699</c:v>
                </c:pt>
                <c:pt idx="36">
                  <c:v>26.461816821253901</c:v>
                </c:pt>
                <c:pt idx="37">
                  <c:v>26.1051821593162</c:v>
                </c:pt>
                <c:pt idx="38">
                  <c:v>25.704266318078002</c:v>
                </c:pt>
                <c:pt idx="39">
                  <c:v>25.256895129266798</c:v>
                </c:pt>
                <c:pt idx="40">
                  <c:v>24.761718394601498</c:v>
                </c:pt>
                <c:pt idx="41">
                  <c:v>24.218379323706301</c:v>
                </c:pt>
                <c:pt idx="42">
                  <c:v>23.6275701497363</c:v>
                </c:pt>
                <c:pt idx="43">
                  <c:v>22.990862999000399</c:v>
                </c:pt>
                <c:pt idx="44">
                  <c:v>22.310148754437702</c:v>
                </c:pt>
                <c:pt idx="45">
                  <c:v>21.586453194688701</c:v>
                </c:pt>
                <c:pt idx="46">
                  <c:v>20.8178938531101</c:v>
                </c:pt>
                <c:pt idx="47">
                  <c:v>19.9968354135883</c:v>
                </c:pt>
                <c:pt idx="48">
                  <c:v>19.1074870490799</c:v>
                </c:pt>
                <c:pt idx="49">
                  <c:v>18.127729650814299</c:v>
                </c:pt>
                <c:pt idx="50">
                  <c:v>17.0398587102713</c:v>
                </c:pt>
              </c:numCache>
            </c:numRef>
          </c:yVal>
          <c:smooth val="1"/>
        </c:ser>
        <c:ser>
          <c:idx val="0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sensitivity'!$B$2:$B$52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'ANN sensitivity'!$E$2:$E$52</c:f>
              <c:numCache>
                <c:formatCode>General</c:formatCode>
                <c:ptCount val="51"/>
                <c:pt idx="0">
                  <c:v>28.691487978197401</c:v>
                </c:pt>
                <c:pt idx="1">
                  <c:v>28.684235153896999</c:v>
                </c:pt>
                <c:pt idx="2">
                  <c:v>28.6721663084504</c:v>
                </c:pt>
                <c:pt idx="3">
                  <c:v>28.6564044115181</c:v>
                </c:pt>
                <c:pt idx="4">
                  <c:v>28.637154224368999</c:v>
                </c:pt>
                <c:pt idx="5">
                  <c:v>28.614169852068201</c:v>
                </c:pt>
                <c:pt idx="6">
                  <c:v>28.5869537475788</c:v>
                </c:pt>
                <c:pt idx="7">
                  <c:v>28.554834549977201</c:v>
                </c:pt>
                <c:pt idx="8">
                  <c:v>28.5169910288576</c:v>
                </c:pt>
                <c:pt idx="9">
                  <c:v>28.472451808338601</c:v>
                </c:pt>
                <c:pt idx="10">
                  <c:v>28.4200838767885</c:v>
                </c:pt>
                <c:pt idx="11">
                  <c:v>28.358575740842198</c:v>
                </c:pt>
                <c:pt idx="12">
                  <c:v>28.286418160051898</c:v>
                </c:pt>
                <c:pt idx="13">
                  <c:v>28.201884364681401</c:v>
                </c:pt>
                <c:pt idx="14">
                  <c:v>28.103011507240801</c:v>
                </c:pt>
                <c:pt idx="15">
                  <c:v>27.987585401247198</c:v>
                </c:pt>
                <c:pt idx="16">
                  <c:v>27.8531311745935</c:v>
                </c:pt>
                <c:pt idx="17">
                  <c:v>27.6969132170344</c:v>
                </c:pt>
                <c:pt idx="18">
                  <c:v>27.515948655107501</c:v>
                </c:pt>
                <c:pt idx="19">
                  <c:v>27.307039439553801</c:v>
                </c:pt>
                <c:pt idx="20">
                  <c:v>27.0668288182748</c:v>
                </c:pt>
                <c:pt idx="21">
                  <c:v>26.791888249994901</c:v>
                </c:pt>
                <c:pt idx="22">
                  <c:v>26.478840358352802</c:v>
                </c:pt>
                <c:pt idx="23">
                  <c:v>26.124521927862801</c:v>
                </c:pt>
                <c:pt idx="24">
                  <c:v>25.726187782113801</c:v>
                </c:pt>
                <c:pt idx="25">
                  <c:v>25.2817513450034</c:v>
                </c:pt>
                <c:pt idx="26">
                  <c:v>24.790050740939499</c:v>
                </c:pt>
                <c:pt idx="27">
                  <c:v>24.251120929222399</c:v>
                </c:pt>
                <c:pt idx="28">
                  <c:v>23.6664437969308</c:v>
                </c:pt>
                <c:pt idx="29">
                  <c:v>23.039141326647499</c:v>
                </c:pt>
                <c:pt idx="30">
                  <c:v>22.374074408514399</c:v>
                </c:pt>
                <c:pt idx="31">
                  <c:v>21.6778139763525</c:v>
                </c:pt>
                <c:pt idx="32">
                  <c:v>20.958463263825301</c:v>
                </c:pt>
                <c:pt idx="33">
                  <c:v>20.225329440994699</c:v>
                </c:pt>
                <c:pt idx="34">
                  <c:v>19.488466552989799</c:v>
                </c:pt>
                <c:pt idx="35">
                  <c:v>18.758134333121401</c:v>
                </c:pt>
                <c:pt idx="36">
                  <c:v>18.044233290733001</c:v>
                </c:pt>
                <c:pt idx="37">
                  <c:v>17.3557810699077</c:v>
                </c:pt>
                <c:pt idx="38">
                  <c:v>16.700487112672899</c:v>
                </c:pt>
                <c:pt idx="39">
                  <c:v>16.0844644225159</c:v>
                </c:pt>
                <c:pt idx="40">
                  <c:v>15.5120937020911</c:v>
                </c:pt>
                <c:pt idx="41">
                  <c:v>14.986032166531199</c:v>
                </c:pt>
                <c:pt idx="42">
                  <c:v>14.5073416543795</c:v>
                </c:pt>
                <c:pt idx="43">
                  <c:v>14.0757007275527</c:v>
                </c:pt>
                <c:pt idx="44">
                  <c:v>13.6896632794578</c:v>
                </c:pt>
                <c:pt idx="45">
                  <c:v>13.3469299791055</c:v>
                </c:pt>
                <c:pt idx="46">
                  <c:v>13.0446060858599</c:v>
                </c:pt>
                <c:pt idx="47">
                  <c:v>12.779427228773301</c:v>
                </c:pt>
                <c:pt idx="48">
                  <c:v>12.547941600559</c:v>
                </c:pt>
                <c:pt idx="49">
                  <c:v>12.3466411210186</c:v>
                </c:pt>
                <c:pt idx="50">
                  <c:v>12.1720340791349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78568"/>
        <c:axId val="410778960"/>
      </c:scatterChart>
      <c:valAx>
        <c:axId val="410778568"/>
        <c:scaling>
          <c:orientation val="minMax"/>
          <c:max val="5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H</a:t>
                </a:r>
                <a:r>
                  <a:rPr lang="en-US" baseline="-25000"/>
                  <a:t>2</a:t>
                </a:r>
                <a:r>
                  <a:rPr lang="en-US"/>
                  <a:t>S (ppm)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78960"/>
        <c:crosses val="autoZero"/>
        <c:crossBetween val="midCat"/>
        <c:majorUnit val="5"/>
      </c:valAx>
      <c:valAx>
        <c:axId val="410778960"/>
        <c:scaling>
          <c:orientation val="minMax"/>
          <c:max val="30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initiation time (month)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78568"/>
        <c:crosses val="autoZero"/>
        <c:crossBetween val="midCat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451344957591876"/>
          <c:y val="0.53333333333333333"/>
          <c:w val="0.40008725664510153"/>
          <c:h val="0.158373738493955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1"/>
          <c:order val="0"/>
          <c:tx>
            <c:v>Gas phase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'ANN sensitivity'!$W$23:$W$43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'ANN sensitivity'!$Y$23:$Y$43</c:f>
              <c:numCache>
                <c:formatCode>General</c:formatCode>
                <c:ptCount val="21"/>
                <c:pt idx="0">
                  <c:v>28.623482296685399</c:v>
                </c:pt>
                <c:pt idx="1">
                  <c:v>28.617217304876601</c:v>
                </c:pt>
                <c:pt idx="2">
                  <c:v>28.609877482693999</c:v>
                </c:pt>
                <c:pt idx="3">
                  <c:v>28.601710840587099</c:v>
                </c:pt>
                <c:pt idx="4">
                  <c:v>28.592849488420701</c:v>
                </c:pt>
                <c:pt idx="5">
                  <c:v>28.583357733278199</c:v>
                </c:pt>
                <c:pt idx="6">
                  <c:v>28.573260106333599</c:v>
                </c:pt>
                <c:pt idx="7">
                  <c:v>28.562557575847801</c:v>
                </c:pt>
                <c:pt idx="8">
                  <c:v>28.5512368785195</c:v>
                </c:pt>
                <c:pt idx="9">
                  <c:v>28.539275865516</c:v>
                </c:pt>
                <c:pt idx="10">
                  <c:v>28.5266465479326</c:v>
                </c:pt>
                <c:pt idx="11">
                  <c:v>28.513316816469299</c:v>
                </c:pt>
                <c:pt idx="12">
                  <c:v>28.499251397654099</c:v>
                </c:pt>
                <c:pt idx="13">
                  <c:v>28.484412370474502</c:v>
                </c:pt>
                <c:pt idx="14">
                  <c:v>28.4687594298045</c:v>
                </c:pt>
                <c:pt idx="15">
                  <c:v>28.452250003881399</c:v>
                </c:pt>
                <c:pt idx="16">
                  <c:v>28.434839287593199</c:v>
                </c:pt>
                <c:pt idx="17">
                  <c:v>28.416480227204801</c:v>
                </c:pt>
                <c:pt idx="18">
                  <c:v>28.397123477153499</c:v>
                </c:pt>
                <c:pt idx="19">
                  <c:v>28.376717340948002</c:v>
                </c:pt>
                <c:pt idx="20">
                  <c:v>28.355207703298799</c:v>
                </c:pt>
              </c:numCache>
            </c:numRef>
          </c:yVal>
          <c:smooth val="1"/>
        </c:ser>
        <c:ser>
          <c:idx val="0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sensitivity'!$W$2:$W$22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'ANN sensitivity'!$Y$2:$Y$22</c:f>
              <c:numCache>
                <c:formatCode>General</c:formatCode>
                <c:ptCount val="21"/>
                <c:pt idx="0">
                  <c:v>27.432008164480301</c:v>
                </c:pt>
                <c:pt idx="1">
                  <c:v>27.362490550258599</c:v>
                </c:pt>
                <c:pt idx="2">
                  <c:v>27.289677295537999</c:v>
                </c:pt>
                <c:pt idx="3">
                  <c:v>27.2134469364136</c:v>
                </c:pt>
                <c:pt idx="4">
                  <c:v>27.133677187147999</c:v>
                </c:pt>
                <c:pt idx="5">
                  <c:v>27.0502453782284</c:v>
                </c:pt>
                <c:pt idx="6">
                  <c:v>26.963028941066099</c:v>
                </c:pt>
                <c:pt idx="7">
                  <c:v>26.8719059420091</c:v>
                </c:pt>
                <c:pt idx="8">
                  <c:v>26.776755667606601</c:v>
                </c:pt>
                <c:pt idx="9">
                  <c:v>26.677459262403701</c:v>
                </c:pt>
                <c:pt idx="10">
                  <c:v>26.5739004199019</c:v>
                </c:pt>
                <c:pt idx="11">
                  <c:v>26.465966126634601</c:v>
                </c:pt>
                <c:pt idx="12">
                  <c:v>26.353547458564599</c:v>
                </c:pt>
                <c:pt idx="13">
                  <c:v>26.236540428185201</c:v>
                </c:pt>
                <c:pt idx="14">
                  <c:v>26.114846879803601</c:v>
                </c:pt>
                <c:pt idx="15">
                  <c:v>25.988375429492802</c:v>
                </c:pt>
                <c:pt idx="16">
                  <c:v>25.8570424451283</c:v>
                </c:pt>
                <c:pt idx="17">
                  <c:v>25.720773060781099</c:v>
                </c:pt>
                <c:pt idx="18">
                  <c:v>25.5795022185373</c:v>
                </c:pt>
                <c:pt idx="19">
                  <c:v>25.433175729567498</c:v>
                </c:pt>
                <c:pt idx="20">
                  <c:v>25.2817513450034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79744"/>
        <c:axId val="410780136"/>
      </c:scatterChart>
      <c:valAx>
        <c:axId val="410779744"/>
        <c:scaling>
          <c:orientation val="minMax"/>
          <c:max val="100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0136"/>
        <c:crosses val="autoZero"/>
        <c:crossBetween val="midCat"/>
      </c:valAx>
      <c:valAx>
        <c:axId val="410780136"/>
        <c:scaling>
          <c:orientation val="minMax"/>
          <c:max val="30"/>
          <c:min val="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baseline="0">
                    <a:effectLst/>
                  </a:rPr>
                  <a:t>Corrosion initiation time (month)</a:t>
                </a:r>
                <a:endParaRPr lang="en-AU" sz="12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79744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754436293186312"/>
          <c:y val="0.59342723004694842"/>
          <c:w val="0.40767738947242593"/>
          <c:h val="0.14335026431555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1"/>
          <c:order val="0"/>
          <c:tx>
            <c:v>Gas phase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'ANN sensitivity'!$R$33:$R$63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'ANN sensitivity'!$S$33:$S$63</c:f>
              <c:numCache>
                <c:formatCode>General</c:formatCode>
                <c:ptCount val="31"/>
                <c:pt idx="0">
                  <c:v>28.747683210174898</c:v>
                </c:pt>
                <c:pt idx="1">
                  <c:v>28.7452851493859</c:v>
                </c:pt>
                <c:pt idx="2">
                  <c:v>28.742564838809901</c:v>
                </c:pt>
                <c:pt idx="3">
                  <c:v>28.7394791232445</c:v>
                </c:pt>
                <c:pt idx="4">
                  <c:v>28.735979097230899</c:v>
                </c:pt>
                <c:pt idx="5">
                  <c:v>28.732009349957401</c:v>
                </c:pt>
                <c:pt idx="6">
                  <c:v>28.727507113625599</c:v>
                </c:pt>
                <c:pt idx="7">
                  <c:v>28.722401303810301</c:v>
                </c:pt>
                <c:pt idx="8">
                  <c:v>28.7166114392212</c:v>
                </c:pt>
                <c:pt idx="9">
                  <c:v>28.710046427106899</c:v>
                </c:pt>
                <c:pt idx="10">
                  <c:v>28.702603199377801</c:v>
                </c:pt>
                <c:pt idx="11">
                  <c:v>28.6941651833869</c:v>
                </c:pt>
                <c:pt idx="12">
                  <c:v>28.684600590255101</c:v>
                </c:pt>
                <c:pt idx="13">
                  <c:v>28.673760502744699</c:v>
                </c:pt>
                <c:pt idx="14">
                  <c:v>28.661476744047601</c:v>
                </c:pt>
                <c:pt idx="15">
                  <c:v>28.647559508623299</c:v>
                </c:pt>
                <c:pt idx="16">
                  <c:v>28.631794736542499</c:v>
                </c:pt>
                <c:pt idx="17">
                  <c:v>28.613941213901899</c:v>
                </c:pt>
                <c:pt idx="18">
                  <c:v>28.593727384048702</c:v>
                </c:pt>
                <c:pt idx="19">
                  <c:v>28.570847857943999</c:v>
                </c:pt>
                <c:pt idx="20">
                  <c:v>28.544959617441702</c:v>
                </c:pt>
                <c:pt idx="21">
                  <c:v>28.515677913104899</c:v>
                </c:pt>
                <c:pt idx="22">
                  <c:v>28.4825718690694</c:v>
                </c:pt>
                <c:pt idx="23">
                  <c:v>28.445159822168101</c:v>
                </c:pt>
                <c:pt idx="24">
                  <c:v>28.402904441943299</c:v>
                </c:pt>
                <c:pt idx="25">
                  <c:v>28.355207703298799</c:v>
                </c:pt>
                <c:pt idx="26">
                  <c:v>28.3014058154872</c:v>
                </c:pt>
                <c:pt idx="27">
                  <c:v>28.240764251001799</c:v>
                </c:pt>
                <c:pt idx="28">
                  <c:v>28.172473066841398</c:v>
                </c:pt>
                <c:pt idx="29">
                  <c:v>28.095642769388299</c:v>
                </c:pt>
                <c:pt idx="30">
                  <c:v>28.009301043248598</c:v>
                </c:pt>
              </c:numCache>
            </c:numRef>
          </c:yVal>
          <c:smooth val="1"/>
        </c:ser>
        <c:ser>
          <c:idx val="0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sensitivity'!$R$2:$R$32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'ANN sensitivity'!$S$2:$S$32</c:f>
              <c:numCache>
                <c:formatCode>General</c:formatCode>
                <c:ptCount val="31"/>
                <c:pt idx="0">
                  <c:v>28.5829388194926</c:v>
                </c:pt>
                <c:pt idx="1">
                  <c:v>28.558639415879401</c:v>
                </c:pt>
                <c:pt idx="2">
                  <c:v>28.531149406481699</c:v>
                </c:pt>
                <c:pt idx="3">
                  <c:v>28.500062145504501</c:v>
                </c:pt>
                <c:pt idx="4">
                  <c:v>28.4649226216752</c:v>
                </c:pt>
                <c:pt idx="5">
                  <c:v>28.425222683446499</c:v>
                </c:pt>
                <c:pt idx="6">
                  <c:v>28.380396076491898</c:v>
                </c:pt>
                <c:pt idx="7">
                  <c:v>28.329813379881099</c:v>
                </c:pt>
                <c:pt idx="8">
                  <c:v>28.272776962989798</c:v>
                </c:pt>
                <c:pt idx="9">
                  <c:v>28.2085161293389</c:v>
                </c:pt>
                <c:pt idx="10">
                  <c:v>28.136182667178701</c:v>
                </c:pt>
                <c:pt idx="11">
                  <c:v>28.0548470904189</c:v>
                </c:pt>
                <c:pt idx="12">
                  <c:v>27.9634959276075</c:v>
                </c:pt>
                <c:pt idx="13">
                  <c:v>27.861030500309798</c:v>
                </c:pt>
                <c:pt idx="14">
                  <c:v>27.7462677232981</c:v>
                </c:pt>
                <c:pt idx="15">
                  <c:v>27.617943553362199</c:v>
                </c:pt>
                <c:pt idx="16">
                  <c:v>27.474719804604401</c:v>
                </c:pt>
                <c:pt idx="17">
                  <c:v>27.315195125808099</c:v>
                </c:pt>
                <c:pt idx="18">
                  <c:v>27.137920985963699</c:v>
                </c:pt>
                <c:pt idx="19">
                  <c:v>26.941423519074299</c:v>
                </c:pt>
                <c:pt idx="20">
                  <c:v>26.7242320165963</c:v>
                </c:pt>
                <c:pt idx="21">
                  <c:v>26.484914699750799</c:v>
                </c:pt>
                <c:pt idx="22">
                  <c:v>26.222122128077601</c:v>
                </c:pt>
                <c:pt idx="23">
                  <c:v>25.934638181567902</c:v>
                </c:pt>
                <c:pt idx="24">
                  <c:v>25.621437976873398</c:v>
                </c:pt>
                <c:pt idx="25">
                  <c:v>25.2817513450034</c:v>
                </c:pt>
                <c:pt idx="26">
                  <c:v>24.915129634785099</c:v>
                </c:pt>
                <c:pt idx="27">
                  <c:v>24.521512671763102</c:v>
                </c:pt>
                <c:pt idx="28">
                  <c:v>24.1012917918592</c:v>
                </c:pt>
                <c:pt idx="29">
                  <c:v>23.655364114357798</c:v>
                </c:pt>
                <c:pt idx="30">
                  <c:v>23.185172775942601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0920"/>
        <c:axId val="410781312"/>
      </c:scatterChart>
      <c:valAx>
        <c:axId val="410780920"/>
        <c:scaling>
          <c:orientation val="minMax"/>
          <c:max val="30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1312"/>
        <c:crosses val="autoZero"/>
        <c:crossBetween val="midCat"/>
      </c:valAx>
      <c:valAx>
        <c:axId val="410781312"/>
        <c:scaling>
          <c:orientation val="minMax"/>
          <c:max val="30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baseline="0">
                    <a:effectLst/>
                  </a:rPr>
                  <a:t>Corrosion initiation time (month)</a:t>
                </a:r>
                <a:endParaRPr lang="en-AU" sz="12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0920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8308515989580998"/>
          <c:y val="0.49953051643192486"/>
          <c:w val="0.3393661940265057"/>
          <c:h val="0.15461786994935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'[1]ANN sensitivity'!$B$2:$B$52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'[1]ANN sensitivity'!$E$2:$E$52</c:f>
              <c:numCache>
                <c:formatCode>General</c:formatCode>
                <c:ptCount val="51"/>
                <c:pt idx="0">
                  <c:v>0.78533361777495503</c:v>
                </c:pt>
                <c:pt idx="1">
                  <c:v>0.815819453276868</c:v>
                </c:pt>
                <c:pt idx="2">
                  <c:v>0.84937822300144605</c:v>
                </c:pt>
                <c:pt idx="3">
                  <c:v>0.88583012355382496</c:v>
                </c:pt>
                <c:pt idx="4">
                  <c:v>0.92472400195204496</c:v>
                </c:pt>
                <c:pt idx="5">
                  <c:v>0.96534662491573797</c:v>
                </c:pt>
                <c:pt idx="6">
                  <c:v>1.0067744401288601</c:v>
                </c:pt>
                <c:pt idx="7">
                  <c:v>1.04796451843824</c:v>
                </c:pt>
                <c:pt idx="8">
                  <c:v>1.08786952291025</c:v>
                </c:pt>
                <c:pt idx="9">
                  <c:v>1.1255534717612701</c:v>
                </c:pt>
                <c:pt idx="10">
                  <c:v>1.16028461039331</c:v>
                </c:pt>
                <c:pt idx="11">
                  <c:v>1.19158913277905</c:v>
                </c:pt>
                <c:pt idx="12">
                  <c:v>1.21926125869248</c:v>
                </c:pt>
                <c:pt idx="13">
                  <c:v>1.2433362251675399</c:v>
                </c:pt>
                <c:pt idx="14">
                  <c:v>1.2640393723847501</c:v>
                </c:pt>
                <c:pt idx="15">
                  <c:v>1.2817257656783001</c:v>
                </c:pt>
                <c:pt idx="16">
                  <c:v>1.2968220816817499</c:v>
                </c:pt>
                <c:pt idx="17">
                  <c:v>1.30977805248725</c:v>
                </c:pt>
                <c:pt idx="18">
                  <c:v>1.3210304863170601</c:v>
                </c:pt>
                <c:pt idx="19">
                  <c:v>1.33097975864591</c:v>
                </c:pt>
                <c:pt idx="20">
                  <c:v>1.33997689448211</c:v>
                </c:pt>
                <c:pt idx="21">
                  <c:v>1.3483186894249199</c:v>
                </c:pt>
                <c:pt idx="22">
                  <c:v>1.3562483524718401</c:v>
                </c:pt>
                <c:pt idx="23">
                  <c:v>1.36395954727514</c:v>
                </c:pt>
                <c:pt idx="24">
                  <c:v>1.37160221770609</c:v>
                </c:pt>
                <c:pt idx="25">
                  <c:v>1.37928907006924</c:v>
                </c:pt>
                <c:pt idx="26">
                  <c:v>1.38710198666175</c:v>
                </c:pt>
                <c:pt idx="27">
                  <c:v>1.3950979486102699</c:v>
                </c:pt>
                <c:pt idx="28">
                  <c:v>1.4033142585592999</c:v>
                </c:pt>
                <c:pt idx="29">
                  <c:v>1.4117729933615</c:v>
                </c:pt>
                <c:pt idx="30">
                  <c:v>1.42048470212446</c:v>
                </c:pt>
                <c:pt idx="31">
                  <c:v>1.4294514121153901</c:v>
                </c:pt>
                <c:pt idx="32">
                  <c:v>1.4386690269382101</c:v>
                </c:pt>
                <c:pt idx="33">
                  <c:v>1.44812920749286</c:v>
                </c:pt>
                <c:pt idx="34">
                  <c:v>1.4578208230691201</c:v>
                </c:pt>
                <c:pt idx="35">
                  <c:v>1.46773105189079</c:v>
                </c:pt>
                <c:pt idx="36">
                  <c:v>1.4778462002989201</c:v>
                </c:pt>
                <c:pt idx="37">
                  <c:v>1.48815229923026</c:v>
                </c:pt>
                <c:pt idx="38">
                  <c:v>1.49863552665865</c:v>
                </c:pt>
                <c:pt idx="39">
                  <c:v>1.5092824956979201</c:v>
                </c:pt>
                <c:pt idx="40">
                  <c:v>1.5200804402972099</c:v>
                </c:pt>
                <c:pt idx="41">
                  <c:v>1.53101732390423</c:v>
                </c:pt>
                <c:pt idx="42">
                  <c:v>1.5420818910451799</c:v>
                </c:pt>
                <c:pt idx="43">
                  <c:v>1.5532636773458699</c:v>
                </c:pt>
                <c:pt idx="44">
                  <c:v>1.5645529899561901</c:v>
                </c:pt>
                <c:pt idx="45">
                  <c:v>1.5759408675004001</c:v>
                </c:pt>
                <c:pt idx="46">
                  <c:v>1.58741902643378</c:v>
                </c:pt>
                <c:pt idx="47">
                  <c:v>1.5989797989299099</c:v>
                </c:pt>
                <c:pt idx="48">
                  <c:v>1.6106160660575799</c:v>
                </c:pt>
                <c:pt idx="49">
                  <c:v>1.62232118895393</c:v>
                </c:pt>
                <c:pt idx="50">
                  <c:v>1.6340889398940801</c:v>
                </c:pt>
              </c:numCache>
            </c:numRef>
          </c:yVal>
          <c:smooth val="1"/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'[1]ANN sensitivity'!$B$53:$B$103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'[1]ANN sensitivity'!$E$53:$E$103</c:f>
              <c:numCache>
                <c:formatCode>General</c:formatCode>
                <c:ptCount val="51"/>
                <c:pt idx="0">
                  <c:v>0.93597488658064298</c:v>
                </c:pt>
                <c:pt idx="1">
                  <c:v>1.01189305473256</c:v>
                </c:pt>
                <c:pt idx="2">
                  <c:v>1.0853730835200199</c:v>
                </c:pt>
                <c:pt idx="3">
                  <c:v>1.1559173639514999</c:v>
                </c:pt>
                <c:pt idx="4">
                  <c:v>1.22333226535588</c:v>
                </c:pt>
                <c:pt idx="5">
                  <c:v>1.28770210172903</c:v>
                </c:pt>
                <c:pt idx="6">
                  <c:v>1.34933964883479</c:v>
                </c:pt>
                <c:pt idx="7">
                  <c:v>1.4087272126417401</c:v>
                </c:pt>
                <c:pt idx="8">
                  <c:v>1.4664592468359099</c:v>
                </c:pt>
                <c:pt idx="9">
                  <c:v>1.5231930680119701</c:v>
                </c:pt>
                <c:pt idx="10">
                  <c:v>1.5796100834729001</c:v>
                </c:pt>
                <c:pt idx="11">
                  <c:v>1.63638699957973</c:v>
                </c:pt>
                <c:pt idx="12">
                  <c:v>1.6941748505872201</c:v>
                </c:pt>
                <c:pt idx="13">
                  <c:v>1.7535831181194199</c:v>
                </c:pt>
                <c:pt idx="14">
                  <c:v>1.81516633818901</c:v>
                </c:pt>
                <c:pt idx="15">
                  <c:v>1.8794111123038999</c:v>
                </c:pt>
                <c:pt idx="16">
                  <c:v>1.9467221532302399</c:v>
                </c:pt>
                <c:pt idx="17">
                  <c:v>2.0174067952038901</c:v>
                </c:pt>
                <c:pt idx="18">
                  <c:v>2.09165822379875</c:v>
                </c:pt>
                <c:pt idx="19">
                  <c:v>2.1695384838544101</c:v>
                </c:pt>
                <c:pt idx="20">
                  <c:v>2.2509630380517902</c:v>
                </c:pt>
                <c:pt idx="21">
                  <c:v>2.3356891763083301</c:v>
                </c:pt>
                <c:pt idx="22">
                  <c:v>2.4233107964627099</c:v>
                </c:pt>
                <c:pt idx="23">
                  <c:v>2.5132618745398498</c:v>
                </c:pt>
                <c:pt idx="24">
                  <c:v>2.6048302526443301</c:v>
                </c:pt>
                <c:pt idx="25">
                  <c:v>2.6971822241952901</c:v>
                </c:pt>
                <c:pt idx="26">
                  <c:v>2.78939694267673</c:v>
                </c:pt>
                <c:pt idx="27">
                  <c:v>2.8805081862186799</c:v>
                </c:pt>
                <c:pt idx="28">
                  <c:v>2.9695497961415702</c:v>
                </c:pt>
                <c:pt idx="29">
                  <c:v>3.0556004582551499</c:v>
                </c:pt>
                <c:pt idx="30">
                  <c:v>3.13782357075167</c:v>
                </c:pt>
                <c:pt idx="31">
                  <c:v>3.2154987220837201</c:v>
                </c:pt>
                <c:pt idx="32">
                  <c:v>3.2880425941245002</c:v>
                </c:pt>
                <c:pt idx="33">
                  <c:v>3.35501861076501</c:v>
                </c:pt>
                <c:pt idx="34">
                  <c:v>3.4161360575645601</c:v>
                </c:pt>
                <c:pt idx="35">
                  <c:v>3.4712404642738202</c:v>
                </c:pt>
                <c:pt idx="36">
                  <c:v>3.5202976493920999</c:v>
                </c:pt>
                <c:pt idx="37">
                  <c:v>3.5633739770342001</c:v>
                </c:pt>
                <c:pt idx="38">
                  <c:v>3.6006151634039099</c:v>
                </c:pt>
                <c:pt idx="39">
                  <c:v>3.6322255277010398</c:v>
                </c:pt>
                <c:pt idx="40">
                  <c:v>3.6584490447223801</c:v>
                </c:pt>
                <c:pt idx="41">
                  <c:v>3.6795530302274302</c:v>
                </c:pt>
                <c:pt idx="42">
                  <c:v>3.6958148429296198</c:v>
                </c:pt>
                <c:pt idx="43">
                  <c:v>3.70751164936777</c:v>
                </c:pt>
                <c:pt idx="44">
                  <c:v>3.7149130724066</c:v>
                </c:pt>
                <c:pt idx="45">
                  <c:v>3.7182764157641399</c:v>
                </c:pt>
                <c:pt idx="46">
                  <c:v>3.71784410270191</c:v>
                </c:pt>
                <c:pt idx="47">
                  <c:v>3.7138429622908098</c:v>
                </c:pt>
                <c:pt idx="48">
                  <c:v>3.7064850193841998</c:v>
                </c:pt>
                <c:pt idx="49">
                  <c:v>3.69596947680694</c:v>
                </c:pt>
                <c:pt idx="50">
                  <c:v>3.6824856074307699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2096"/>
        <c:axId val="410782488"/>
      </c:scatterChart>
      <c:valAx>
        <c:axId val="410782096"/>
        <c:scaling>
          <c:orientation val="minMax"/>
          <c:max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H</a:t>
                </a:r>
                <a:r>
                  <a:rPr lang="en-US" baseline="-25000"/>
                  <a:t>2</a:t>
                </a:r>
                <a:r>
                  <a:rPr lang="en-US"/>
                  <a:t>S (ppm)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2488"/>
        <c:crosses val="autoZero"/>
        <c:crossBetween val="midCat"/>
      </c:valAx>
      <c:valAx>
        <c:axId val="410782488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rate (mm/year)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2096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1091564692933312"/>
          <c:y val="0.14647887323943659"/>
          <c:w val="0.3798469024389029"/>
          <c:h val="0.14335026431555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'[1]ANN sensitivity'!$W$2:$W$22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'[1]ANN sensitivity'!$Y$2:$Y$22</c:f>
              <c:numCache>
                <c:formatCode>General</c:formatCode>
                <c:ptCount val="21"/>
                <c:pt idx="0">
                  <c:v>0.98119047934814996</c:v>
                </c:pt>
                <c:pt idx="1">
                  <c:v>0.91885763375584895</c:v>
                </c:pt>
                <c:pt idx="2">
                  <c:v>0.89284190096074101</c:v>
                </c:pt>
                <c:pt idx="3">
                  <c:v>0.900089483960685</c:v>
                </c:pt>
                <c:pt idx="4">
                  <c:v>0.93060317740662102</c:v>
                </c:pt>
                <c:pt idx="5">
                  <c:v>0.97068985736517099</c:v>
                </c:pt>
                <c:pt idx="6">
                  <c:v>1.00851790727575</c:v>
                </c:pt>
                <c:pt idx="7">
                  <c:v>1.03828895051325</c:v>
                </c:pt>
                <c:pt idx="8">
                  <c:v>1.06076527509312</c:v>
                </c:pt>
                <c:pt idx="9">
                  <c:v>1.08111927875626</c:v>
                </c:pt>
                <c:pt idx="10">
                  <c:v>1.10610074654819</c:v>
                </c:pt>
                <c:pt idx="11">
                  <c:v>1.1414868096100299</c:v>
                </c:pt>
                <c:pt idx="12">
                  <c:v>1.1899099889198099</c:v>
                </c:pt>
                <c:pt idx="13">
                  <c:v>1.2493283493406599</c:v>
                </c:pt>
                <c:pt idx="14">
                  <c:v>1.3129554453155099</c:v>
                </c:pt>
                <c:pt idx="15">
                  <c:v>1.3712304158886901</c:v>
                </c:pt>
                <c:pt idx="16">
                  <c:v>1.41505287354151</c:v>
                </c:pt>
                <c:pt idx="17">
                  <c:v>1.4384244242440201</c:v>
                </c:pt>
                <c:pt idx="18">
                  <c:v>1.43924510093387</c:v>
                </c:pt>
                <c:pt idx="19">
                  <c:v>1.41855487415499</c:v>
                </c:pt>
                <c:pt idx="20">
                  <c:v>1.37928907006924</c:v>
                </c:pt>
              </c:numCache>
            </c:numRef>
          </c:yVal>
          <c:smooth val="1"/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'[1]ANN sensitivity'!$W$23:$W$43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'[1]ANN sensitivity'!$Y$23:$Y$43</c:f>
              <c:numCache>
                <c:formatCode>General</c:formatCode>
                <c:ptCount val="21"/>
                <c:pt idx="0">
                  <c:v>2.82078462624786</c:v>
                </c:pt>
                <c:pt idx="1">
                  <c:v>2.7263679349143</c:v>
                </c:pt>
                <c:pt idx="2">
                  <c:v>2.6374048676861901</c:v>
                </c:pt>
                <c:pt idx="3">
                  <c:v>2.5550342840129701</c:v>
                </c:pt>
                <c:pt idx="4">
                  <c:v>2.4799125252062799</c:v>
                </c:pt>
                <c:pt idx="5">
                  <c:v>2.4123856668067201</c:v>
                </c:pt>
                <c:pt idx="6">
                  <c:v>2.3526919945903799</c:v>
                </c:pt>
                <c:pt idx="7">
                  <c:v>2.3011897616111399</c:v>
                </c:pt>
                <c:pt idx="8">
                  <c:v>2.2586215244348602</c:v>
                </c:pt>
                <c:pt idx="9">
                  <c:v>2.2264058672076001</c:v>
                </c:pt>
                <c:pt idx="10">
                  <c:v>2.2068879834649602</c:v>
                </c:pt>
                <c:pt idx="11">
                  <c:v>2.2033740605600798</c:v>
                </c:pt>
                <c:pt idx="12">
                  <c:v>2.2196297754269598</c:v>
                </c:pt>
                <c:pt idx="13">
                  <c:v>2.2584722312282799</c:v>
                </c:pt>
                <c:pt idx="14">
                  <c:v>2.3194838667416202</c:v>
                </c:pt>
                <c:pt idx="15">
                  <c:v>2.3969971065324902</c:v>
                </c:pt>
                <c:pt idx="16">
                  <c:v>2.4804790930230101</c:v>
                </c:pt>
                <c:pt idx="17">
                  <c:v>2.5582157370612602</c:v>
                </c:pt>
                <c:pt idx="18">
                  <c:v>2.6218690298270202</c:v>
                </c:pt>
                <c:pt idx="19">
                  <c:v>2.6682140889846599</c:v>
                </c:pt>
                <c:pt idx="20">
                  <c:v>2.6971822241952901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3272"/>
        <c:axId val="410783664"/>
      </c:scatterChart>
      <c:valAx>
        <c:axId val="410783272"/>
        <c:scaling>
          <c:orientation val="minMax"/>
          <c:max val="100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3664"/>
        <c:crosses val="autoZero"/>
        <c:crossBetween val="midCat"/>
      </c:valAx>
      <c:valAx>
        <c:axId val="410783664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rate (mm/year)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3272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9946719658145199"/>
          <c:y val="0.19906103286384977"/>
          <c:w val="0.46839845209102182"/>
          <c:h val="0.15837373849395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'[1]ANN sensitivity'!$R$2:$R$32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'[1]ANN sensitivity'!$S$2:$S$32</c:f>
              <c:numCache>
                <c:formatCode>General</c:formatCode>
                <c:ptCount val="31"/>
                <c:pt idx="0">
                  <c:v>2.4853752973362</c:v>
                </c:pt>
                <c:pt idx="1">
                  <c:v>2.4587589347591599</c:v>
                </c:pt>
                <c:pt idx="2">
                  <c:v>2.42888935859113</c:v>
                </c:pt>
                <c:pt idx="3">
                  <c:v>2.3955346428586402</c:v>
                </c:pt>
                <c:pt idx="4">
                  <c:v>2.35849619120633</c:v>
                </c:pt>
                <c:pt idx="5">
                  <c:v>2.31762175218863</c:v>
                </c:pt>
                <c:pt idx="6">
                  <c:v>2.2728177979172499</c:v>
                </c:pt>
                <c:pt idx="7">
                  <c:v>2.2240590324945</c:v>
                </c:pt>
                <c:pt idx="8">
                  <c:v>2.1713918477329299</c:v>
                </c:pt>
                <c:pt idx="9">
                  <c:v>2.1149274674307001</c:v>
                </c:pt>
                <c:pt idx="10">
                  <c:v>2.0548194225566401</c:v>
                </c:pt>
                <c:pt idx="11">
                  <c:v>1.9912191970028901</c:v>
                </c:pt>
                <c:pt idx="12">
                  <c:v>1.9242043409942999</c:v>
                </c:pt>
                <c:pt idx="13">
                  <c:v>1.85367777717513</c:v>
                </c:pt>
                <c:pt idx="14">
                  <c:v>1.77925223939096</c:v>
                </c:pt>
                <c:pt idx="15">
                  <c:v>1.7001743216182701</c:v>
                </c:pt>
                <c:pt idx="16">
                  <c:v>1.6154310151310101</c:v>
                </c:pt>
                <c:pt idx="17">
                  <c:v>1.5243251347265401</c:v>
                </c:pt>
                <c:pt idx="18">
                  <c:v>1.4279061564075901</c:v>
                </c:pt>
                <c:pt idx="19">
                  <c:v>1.33134943656725</c:v>
                </c:pt>
                <c:pt idx="20">
                  <c:v>1.24622659004585</c:v>
                </c:pt>
                <c:pt idx="21">
                  <c:v>1.18997873532582</c:v>
                </c:pt>
                <c:pt idx="22">
                  <c:v>1.1797145033424601</c:v>
                </c:pt>
                <c:pt idx="23">
                  <c:v>1.2207163836345101</c:v>
                </c:pt>
                <c:pt idx="24">
                  <c:v>1.2973857226235199</c:v>
                </c:pt>
                <c:pt idx="25">
                  <c:v>1.37928907006924</c:v>
                </c:pt>
                <c:pt idx="26">
                  <c:v>1.44094029302439</c:v>
                </c:pt>
                <c:pt idx="27">
                  <c:v>1.4745295385956501</c:v>
                </c:pt>
                <c:pt idx="28">
                  <c:v>1.48634990970348</c:v>
                </c:pt>
                <c:pt idx="29">
                  <c:v>1.48772459757355</c:v>
                </c:pt>
                <c:pt idx="30">
                  <c:v>1.4890330280495101</c:v>
                </c:pt>
              </c:numCache>
            </c:numRef>
          </c:yVal>
          <c:smooth val="1"/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'[1]ANN sensitivity'!$R$33:$R$63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'[1]ANN sensitivity'!$S$33:$S$63</c:f>
              <c:numCache>
                <c:formatCode>General</c:formatCode>
                <c:ptCount val="31"/>
                <c:pt idx="0">
                  <c:v>1.15083521699197</c:v>
                </c:pt>
                <c:pt idx="1">
                  <c:v>1.17475606477432</c:v>
                </c:pt>
                <c:pt idx="2">
                  <c:v>1.20090000367964</c:v>
                </c:pt>
                <c:pt idx="3">
                  <c:v>1.2296466590438899</c:v>
                </c:pt>
                <c:pt idx="4">
                  <c:v>1.2613947870602999</c:v>
                </c:pt>
                <c:pt idx="5">
                  <c:v>1.2965462820368701</c:v>
                </c:pt>
                <c:pt idx="6">
                  <c:v>1.3354961270085901</c:v>
                </c:pt>
                <c:pt idx="7">
                  <c:v>1.3786354106174099</c:v>
                </c:pt>
                <c:pt idx="8">
                  <c:v>1.4263760105849299</c:v>
                </c:pt>
                <c:pt idx="9">
                  <c:v>1.47920806105534</c:v>
                </c:pt>
                <c:pt idx="10">
                  <c:v>1.5378038186754199</c:v>
                </c:pt>
                <c:pt idx="11">
                  <c:v>1.6031778572198601</c:v>
                </c:pt>
                <c:pt idx="12">
                  <c:v>1.6768862685780599</c:v>
                </c:pt>
                <c:pt idx="13">
                  <c:v>1.76116124896017</c:v>
                </c:pt>
                <c:pt idx="14">
                  <c:v>1.85869287099101</c:v>
                </c:pt>
                <c:pt idx="15">
                  <c:v>1.9715517431437199</c:v>
                </c:pt>
                <c:pt idx="16">
                  <c:v>2.0989186249366401</c:v>
                </c:pt>
                <c:pt idx="17">
                  <c:v>2.2345711085405</c:v>
                </c:pt>
                <c:pt idx="18">
                  <c:v>2.36688336272096</c:v>
                </c:pt>
                <c:pt idx="19">
                  <c:v>2.4830652854064099</c:v>
                </c:pt>
                <c:pt idx="20">
                  <c:v>2.5746616065131702</c:v>
                </c:pt>
                <c:pt idx="21">
                  <c:v>2.63962454412161</c:v>
                </c:pt>
                <c:pt idx="22">
                  <c:v>2.6804712781498998</c:v>
                </c:pt>
                <c:pt idx="23">
                  <c:v>2.7013567301694401</c:v>
                </c:pt>
                <c:pt idx="24">
                  <c:v>2.7060674971542298</c:v>
                </c:pt>
                <c:pt idx="25">
                  <c:v>2.6971822241952901</c:v>
                </c:pt>
                <c:pt idx="26">
                  <c:v>2.6760147820673801</c:v>
                </c:pt>
                <c:pt idx="27">
                  <c:v>2.6430661605647101</c:v>
                </c:pt>
                <c:pt idx="28">
                  <c:v>2.5988942893973501</c:v>
                </c:pt>
                <c:pt idx="29">
                  <c:v>2.5453389272865001</c:v>
                </c:pt>
                <c:pt idx="30">
                  <c:v>2.4869086096428701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4448"/>
        <c:axId val="410784840"/>
      </c:scatterChart>
      <c:valAx>
        <c:axId val="410784448"/>
        <c:scaling>
          <c:orientation val="minMax"/>
          <c:max val="30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4840"/>
        <c:crosses val="autoZero"/>
        <c:crossBetween val="midCat"/>
      </c:valAx>
      <c:valAx>
        <c:axId val="410784840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rate (mm/year)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4448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6151653244482959"/>
          <c:y val="0.18028169014084508"/>
          <c:w val="0.49369889484877011"/>
          <c:h val="0.15461786994935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3.xml"/><Relationship Id="rId1" Type="http://schemas.openxmlformats.org/officeDocument/2006/relationships/image" Target="../media/image4.png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304800</xdr:colOff>
      <xdr:row>36</xdr:row>
      <xdr:rowOff>109078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0058400" cy="6509878"/>
        </a:xfrm>
        <a:prstGeom prst="rect">
          <a:avLst/>
        </a:prstGeom>
      </xdr:spPr>
    </xdr:pic>
    <xdr:clientData/>
  </xdr:twoCellAnchor>
  <xdr:oneCellAnchor>
    <xdr:from>
      <xdr:col>0</xdr:col>
      <xdr:colOff>168871</xdr:colOff>
      <xdr:row>7</xdr:row>
      <xdr:rowOff>63672</xdr:rowOff>
    </xdr:from>
    <xdr:ext cx="328295" cy="3092898"/>
    <xdr:sp macro="" textlink="">
      <xdr:nvSpPr>
        <xdr:cNvPr id="3" name="TextBox 2"/>
        <xdr:cNvSpPr txBox="1"/>
      </xdr:nvSpPr>
      <xdr:spPr>
        <a:xfrm rot="16200000">
          <a:off x="-1213430" y="2741373"/>
          <a:ext cx="3092898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Corrosion initiation time (month)</a:t>
          </a:r>
        </a:p>
      </xdr:txBody>
    </xdr:sp>
    <xdr:clientData/>
  </xdr:oneCellAnchor>
  <xdr:oneCellAnchor>
    <xdr:from>
      <xdr:col>2</xdr:col>
      <xdr:colOff>464822</xdr:colOff>
      <xdr:row>36</xdr:row>
      <xdr:rowOff>169134</xdr:rowOff>
    </xdr:from>
    <xdr:ext cx="1138645" cy="328295"/>
    <xdr:sp macro="" textlink="">
      <xdr:nvSpPr>
        <xdr:cNvPr id="4" name="TextBox 3"/>
        <xdr:cNvSpPr txBox="1"/>
      </xdr:nvSpPr>
      <xdr:spPr>
        <a:xfrm>
          <a:off x="1684022" y="6752814"/>
          <a:ext cx="1138645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H</a:t>
          </a:r>
          <a:r>
            <a:rPr lang="en-AU" sz="1600" b="0" baseline="-25000">
              <a:latin typeface="Arial" panose="020B0604020202020204" pitchFamily="34" charset="0"/>
              <a:cs typeface="Arial" panose="020B0604020202020204" pitchFamily="34" charset="0"/>
            </a:rPr>
            <a:t>2</a:t>
          </a:r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S (ppm)</a:t>
          </a:r>
        </a:p>
      </xdr:txBody>
    </xdr:sp>
    <xdr:clientData/>
  </xdr:oneCellAnchor>
  <xdr:oneCellAnchor>
    <xdr:from>
      <xdr:col>8</xdr:col>
      <xdr:colOff>225337</xdr:colOff>
      <xdr:row>36</xdr:row>
      <xdr:rowOff>169134</xdr:rowOff>
    </xdr:from>
    <xdr:ext cx="1358962" cy="328295"/>
    <xdr:sp macro="" textlink="">
      <xdr:nvSpPr>
        <xdr:cNvPr id="5" name="TextBox 4"/>
        <xdr:cNvSpPr txBox="1"/>
      </xdr:nvSpPr>
      <xdr:spPr>
        <a:xfrm>
          <a:off x="5102137" y="6752814"/>
          <a:ext cx="1358962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Humidity (%)</a:t>
          </a:r>
        </a:p>
      </xdr:txBody>
    </xdr:sp>
    <xdr:clientData/>
  </xdr:oneCellAnchor>
  <xdr:oneCellAnchor>
    <xdr:from>
      <xdr:col>13</xdr:col>
      <xdr:colOff>534029</xdr:colOff>
      <xdr:row>36</xdr:row>
      <xdr:rowOff>169134</xdr:rowOff>
    </xdr:from>
    <xdr:ext cx="1777410" cy="328295"/>
    <xdr:sp macro="" textlink="">
      <xdr:nvSpPr>
        <xdr:cNvPr id="6" name="TextBox 5"/>
        <xdr:cNvSpPr txBox="1"/>
      </xdr:nvSpPr>
      <xdr:spPr>
        <a:xfrm>
          <a:off x="8458829" y="6752814"/>
          <a:ext cx="1777410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Temperature (</a:t>
          </a:r>
          <a:r>
            <a:rPr lang="en-AU" sz="1600" b="0" baseline="30000">
              <a:latin typeface="Arial" panose="020B0604020202020204" pitchFamily="34" charset="0"/>
              <a:cs typeface="Arial" panose="020B0604020202020204" pitchFamily="34" charset="0"/>
            </a:rPr>
            <a:t>o</a:t>
          </a:r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C)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304800</xdr:colOff>
      <xdr:row>27</xdr:row>
      <xdr:rowOff>123151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0058400" cy="4878031"/>
        </a:xfrm>
        <a:prstGeom prst="rect">
          <a:avLst/>
        </a:prstGeom>
      </xdr:spPr>
    </xdr:pic>
    <xdr:clientData/>
  </xdr:twoCellAnchor>
  <xdr:oneCellAnchor>
    <xdr:from>
      <xdr:col>2</xdr:col>
      <xdr:colOff>358140</xdr:colOff>
      <xdr:row>28</xdr:row>
      <xdr:rowOff>38100</xdr:rowOff>
    </xdr:from>
    <xdr:ext cx="2283382" cy="328295"/>
    <xdr:sp macro="" textlink="">
      <xdr:nvSpPr>
        <xdr:cNvPr id="3" name="TextBox 2"/>
        <xdr:cNvSpPr txBox="1"/>
      </xdr:nvSpPr>
      <xdr:spPr>
        <a:xfrm>
          <a:off x="1582783" y="5372100"/>
          <a:ext cx="2283382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A. Gas-phase concrete</a:t>
          </a:r>
        </a:p>
      </xdr:txBody>
    </xdr:sp>
    <xdr:clientData/>
  </xdr:oneCellAnchor>
  <xdr:oneCellAnchor>
    <xdr:from>
      <xdr:col>11</xdr:col>
      <xdr:colOff>11975</xdr:colOff>
      <xdr:row>28</xdr:row>
      <xdr:rowOff>38100</xdr:rowOff>
    </xdr:from>
    <xdr:ext cx="3104440" cy="328295"/>
    <xdr:sp macro="" textlink="">
      <xdr:nvSpPr>
        <xdr:cNvPr id="4" name="TextBox 3"/>
        <xdr:cNvSpPr txBox="1"/>
      </xdr:nvSpPr>
      <xdr:spPr>
        <a:xfrm>
          <a:off x="6747511" y="5372100"/>
          <a:ext cx="3104440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B.</a:t>
          </a:r>
          <a:r>
            <a:rPr lang="en-AU" sz="16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Partially-submerged concrete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21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0</xdr:row>
      <xdr:rowOff>179070</xdr:rowOff>
    </xdr:from>
    <xdr:to>
      <xdr:col>9</xdr:col>
      <xdr:colOff>457200</xdr:colOff>
      <xdr:row>17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9</xdr:row>
      <xdr:rowOff>114300</xdr:rowOff>
    </xdr:from>
    <xdr:to>
      <xdr:col>8</xdr:col>
      <xdr:colOff>590003</xdr:colOff>
      <xdr:row>17</xdr:row>
      <xdr:rowOff>26242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760220"/>
          <a:ext cx="5451563" cy="1374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601980</xdr:colOff>
      <xdr:row>6</xdr:row>
      <xdr:rowOff>19050</xdr:rowOff>
    </xdr:from>
    <xdr:to>
      <xdr:col>16</xdr:col>
      <xdr:colOff>220980</xdr:colOff>
      <xdr:row>22</xdr:row>
      <xdr:rowOff>137160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85181</xdr:colOff>
      <xdr:row>25</xdr:row>
      <xdr:rowOff>37952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619500"/>
          <a:ext cx="4352381" cy="118095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26</xdr:row>
          <xdr:rowOff>0</xdr:rowOff>
        </xdr:from>
        <xdr:to>
          <xdr:col>18</xdr:col>
          <xdr:colOff>123825</xdr:colOff>
          <xdr:row>27</xdr:row>
          <xdr:rowOff>38100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0</xdr:colOff>
      <xdr:row>3</xdr:row>
      <xdr:rowOff>180975</xdr:rowOff>
    </xdr:from>
    <xdr:to>
      <xdr:col>23</xdr:col>
      <xdr:colOff>228600</xdr:colOff>
      <xdr:row>22</xdr:row>
      <xdr:rowOff>118110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557212</xdr:colOff>
      <xdr:row>1</xdr:row>
      <xdr:rowOff>57149</xdr:rowOff>
    </xdr:from>
    <xdr:to>
      <xdr:col>14</xdr:col>
      <xdr:colOff>90487</xdr:colOff>
      <xdr:row>19</xdr:row>
      <xdr:rowOff>9524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557212</xdr:colOff>
      <xdr:row>18</xdr:row>
      <xdr:rowOff>76200</xdr:rowOff>
    </xdr:from>
    <xdr:to>
      <xdr:col>14</xdr:col>
      <xdr:colOff>90487</xdr:colOff>
      <xdr:row>36</xdr:row>
      <xdr:rowOff>28575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557212</xdr:colOff>
      <xdr:row>35</xdr:row>
      <xdr:rowOff>123825</xdr:rowOff>
    </xdr:from>
    <xdr:to>
      <xdr:col>14</xdr:col>
      <xdr:colOff>90487</xdr:colOff>
      <xdr:row>53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0.12777</cdr:x>
      <cdr:y>0.13897</cdr:y>
    </cdr:from>
    <cdr:to>
      <cdr:x>0.19038</cdr:x>
      <cdr:y>0.22734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41365" y="469894"/>
          <a:ext cx="314281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0.13156</cdr:x>
      <cdr:y>0.14178</cdr:y>
    </cdr:from>
    <cdr:to>
      <cdr:x>0.19418</cdr:x>
      <cdr:y>0.23015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60402" y="479419"/>
          <a:ext cx="314332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0.11827</cdr:x>
      <cdr:y>0.03192</cdr:y>
    </cdr:from>
    <cdr:to>
      <cdr:x>0.18089</cdr:x>
      <cdr:y>0.12029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93702" y="107946"/>
          <a:ext cx="314332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142875</xdr:colOff>
      <xdr:row>18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19051</xdr:rowOff>
    </xdr:from>
    <xdr:to>
      <xdr:col>9</xdr:col>
      <xdr:colOff>142875</xdr:colOff>
      <xdr:row>35</xdr:row>
      <xdr:rowOff>161926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66676</xdr:rowOff>
    </xdr:from>
    <xdr:to>
      <xdr:col>9</xdr:col>
      <xdr:colOff>142875</xdr:colOff>
      <xdr:row>53</xdr:row>
      <xdr:rowOff>19051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17</xdr:col>
      <xdr:colOff>142875</xdr:colOff>
      <xdr:row>18</xdr:row>
      <xdr:rowOff>142875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18</xdr:row>
      <xdr:rowOff>19051</xdr:rowOff>
    </xdr:from>
    <xdr:to>
      <xdr:col>17</xdr:col>
      <xdr:colOff>142875</xdr:colOff>
      <xdr:row>35</xdr:row>
      <xdr:rowOff>161926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35</xdr:row>
      <xdr:rowOff>66676</xdr:rowOff>
    </xdr:from>
    <xdr:to>
      <xdr:col>17</xdr:col>
      <xdr:colOff>142875</xdr:colOff>
      <xdr:row>53</xdr:row>
      <xdr:rowOff>19051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0.12397</cdr:x>
      <cdr:y>0.09672</cdr:y>
    </cdr:from>
    <cdr:to>
      <cdr:x>0.18658</cdr:x>
      <cdr:y>0.18509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22314" y="327035"/>
          <a:ext cx="314282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0.11638</cdr:x>
      <cdr:y>0.03474</cdr:y>
    </cdr:from>
    <cdr:to>
      <cdr:x>0.179</cdr:x>
      <cdr:y>0.12311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84188" y="117461"/>
          <a:ext cx="314332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0.11827</cdr:x>
      <cdr:y>0.03192</cdr:y>
    </cdr:from>
    <cdr:to>
      <cdr:x>0.18089</cdr:x>
      <cdr:y>0.12029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93702" y="107946"/>
          <a:ext cx="314332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0.12018</cdr:x>
      <cdr:y>0.03474</cdr:y>
    </cdr:from>
    <cdr:to>
      <cdr:x>0.18279</cdr:x>
      <cdr:y>0.12311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03250" y="117475"/>
          <a:ext cx="314317" cy="2988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0.11828</cdr:x>
      <cdr:y>0.03474</cdr:y>
    </cdr:from>
    <cdr:to>
      <cdr:x>0.1809</cdr:x>
      <cdr:y>0.12311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93725" y="117475"/>
          <a:ext cx="314317" cy="2988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0.11448</cdr:x>
      <cdr:y>0.02629</cdr:y>
    </cdr:from>
    <cdr:to>
      <cdr:x>0.17311</cdr:x>
      <cdr:y>0.11466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74652" y="88896"/>
          <a:ext cx="294311" cy="2988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F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%20Files/Writings/WR_ANN%20prediction%20of%20sewer%20corrosion/ANN%20corrosion%20rate/Data%20analysis%20-%20ANN%20%20Corr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CorrRate"/>
      <sheetName val="CorrRavg"/>
      <sheetName val="Lab&amp;Field data"/>
      <sheetName val="SP1B data"/>
      <sheetName val="ANN performance"/>
      <sheetName val="MultiReg"/>
      <sheetName val="ANN sensitivi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0</v>
          </cell>
          <cell r="E2">
            <v>0.78533361777495503</v>
          </cell>
          <cell r="R2">
            <v>0</v>
          </cell>
          <cell r="S2">
            <v>2.4853752973362</v>
          </cell>
          <cell r="W2">
            <v>90</v>
          </cell>
          <cell r="Y2">
            <v>0.98119047934814996</v>
          </cell>
        </row>
        <row r="3">
          <cell r="B3">
            <v>1</v>
          </cell>
          <cell r="E3">
            <v>0.815819453276868</v>
          </cell>
          <cell r="R3">
            <v>1</v>
          </cell>
          <cell r="S3">
            <v>2.4587589347591599</v>
          </cell>
          <cell r="W3">
            <v>90.5</v>
          </cell>
          <cell r="Y3">
            <v>0.91885763375584895</v>
          </cell>
        </row>
        <row r="4">
          <cell r="B4">
            <v>2</v>
          </cell>
          <cell r="E4">
            <v>0.84937822300144605</v>
          </cell>
          <cell r="R4">
            <v>2</v>
          </cell>
          <cell r="S4">
            <v>2.42888935859113</v>
          </cell>
          <cell r="W4">
            <v>91</v>
          </cell>
          <cell r="Y4">
            <v>0.89284190096074101</v>
          </cell>
        </row>
        <row r="5">
          <cell r="B5">
            <v>3</v>
          </cell>
          <cell r="E5">
            <v>0.88583012355382496</v>
          </cell>
          <cell r="R5">
            <v>3</v>
          </cell>
          <cell r="S5">
            <v>2.3955346428586402</v>
          </cell>
          <cell r="W5">
            <v>91.5</v>
          </cell>
          <cell r="Y5">
            <v>0.900089483960685</v>
          </cell>
        </row>
        <row r="6">
          <cell r="B6">
            <v>4</v>
          </cell>
          <cell r="E6">
            <v>0.92472400195204496</v>
          </cell>
          <cell r="R6">
            <v>4</v>
          </cell>
          <cell r="S6">
            <v>2.35849619120633</v>
          </cell>
          <cell r="W6">
            <v>92</v>
          </cell>
          <cell r="Y6">
            <v>0.93060317740662102</v>
          </cell>
        </row>
        <row r="7">
          <cell r="B7">
            <v>5</v>
          </cell>
          <cell r="E7">
            <v>0.96534662491573797</v>
          </cell>
          <cell r="R7">
            <v>5</v>
          </cell>
          <cell r="S7">
            <v>2.31762175218863</v>
          </cell>
          <cell r="W7">
            <v>92.5</v>
          </cell>
          <cell r="Y7">
            <v>0.97068985736517099</v>
          </cell>
        </row>
        <row r="8">
          <cell r="B8">
            <v>6</v>
          </cell>
          <cell r="E8">
            <v>1.0067744401288601</v>
          </cell>
          <cell r="R8">
            <v>6</v>
          </cell>
          <cell r="S8">
            <v>2.2728177979172499</v>
          </cell>
          <cell r="W8">
            <v>93</v>
          </cell>
          <cell r="Y8">
            <v>1.00851790727575</v>
          </cell>
        </row>
        <row r="9">
          <cell r="B9">
            <v>7</v>
          </cell>
          <cell r="E9">
            <v>1.04796451843824</v>
          </cell>
          <cell r="R9">
            <v>7</v>
          </cell>
          <cell r="S9">
            <v>2.2240590324945</v>
          </cell>
          <cell r="W9">
            <v>93.5</v>
          </cell>
          <cell r="Y9">
            <v>1.03828895051325</v>
          </cell>
        </row>
        <row r="10">
          <cell r="B10">
            <v>8</v>
          </cell>
          <cell r="E10">
            <v>1.08786952291025</v>
          </cell>
          <cell r="R10">
            <v>8</v>
          </cell>
          <cell r="S10">
            <v>2.1713918477329299</v>
          </cell>
          <cell r="W10">
            <v>94</v>
          </cell>
          <cell r="Y10">
            <v>1.06076527509312</v>
          </cell>
        </row>
        <row r="11">
          <cell r="B11">
            <v>9</v>
          </cell>
          <cell r="E11">
            <v>1.1255534717612701</v>
          </cell>
          <cell r="R11">
            <v>9</v>
          </cell>
          <cell r="S11">
            <v>2.1149274674307001</v>
          </cell>
          <cell r="W11">
            <v>94.5</v>
          </cell>
          <cell r="Y11">
            <v>1.08111927875626</v>
          </cell>
        </row>
        <row r="12">
          <cell r="B12">
            <v>10</v>
          </cell>
          <cell r="E12">
            <v>1.16028461039331</v>
          </cell>
          <cell r="R12">
            <v>10</v>
          </cell>
          <cell r="S12">
            <v>2.0548194225566401</v>
          </cell>
          <cell r="W12">
            <v>95</v>
          </cell>
          <cell r="Y12">
            <v>1.10610074654819</v>
          </cell>
        </row>
        <row r="13">
          <cell r="B13">
            <v>11</v>
          </cell>
          <cell r="E13">
            <v>1.19158913277905</v>
          </cell>
          <cell r="R13">
            <v>11</v>
          </cell>
          <cell r="S13">
            <v>1.9912191970028901</v>
          </cell>
          <cell r="W13">
            <v>95.5</v>
          </cell>
          <cell r="Y13">
            <v>1.1414868096100299</v>
          </cell>
        </row>
        <row r="14">
          <cell r="B14">
            <v>12</v>
          </cell>
          <cell r="E14">
            <v>1.21926125869248</v>
          </cell>
          <cell r="R14">
            <v>12</v>
          </cell>
          <cell r="S14">
            <v>1.9242043409942999</v>
          </cell>
          <cell r="W14">
            <v>96</v>
          </cell>
          <cell r="Y14">
            <v>1.1899099889198099</v>
          </cell>
        </row>
        <row r="15">
          <cell r="B15">
            <v>13</v>
          </cell>
          <cell r="E15">
            <v>1.2433362251675399</v>
          </cell>
          <cell r="R15">
            <v>13</v>
          </cell>
          <cell r="S15">
            <v>1.85367777717513</v>
          </cell>
          <cell r="W15">
            <v>96.5</v>
          </cell>
          <cell r="Y15">
            <v>1.2493283493406599</v>
          </cell>
        </row>
        <row r="16">
          <cell r="B16">
            <v>14</v>
          </cell>
          <cell r="E16">
            <v>1.2640393723847501</v>
          </cell>
          <cell r="R16">
            <v>14</v>
          </cell>
          <cell r="S16">
            <v>1.77925223939096</v>
          </cell>
          <cell r="W16">
            <v>97</v>
          </cell>
          <cell r="Y16">
            <v>1.3129554453155099</v>
          </cell>
        </row>
        <row r="17">
          <cell r="B17">
            <v>15</v>
          </cell>
          <cell r="E17">
            <v>1.2817257656783001</v>
          </cell>
          <cell r="R17">
            <v>15</v>
          </cell>
          <cell r="S17">
            <v>1.7001743216182701</v>
          </cell>
          <cell r="W17">
            <v>97.5</v>
          </cell>
          <cell r="Y17">
            <v>1.3712304158886901</v>
          </cell>
        </row>
        <row r="18">
          <cell r="B18">
            <v>16</v>
          </cell>
          <cell r="E18">
            <v>1.2968220816817499</v>
          </cell>
          <cell r="R18">
            <v>16</v>
          </cell>
          <cell r="S18">
            <v>1.6154310151310101</v>
          </cell>
          <cell r="W18">
            <v>98</v>
          </cell>
          <cell r="Y18">
            <v>1.41505287354151</v>
          </cell>
        </row>
        <row r="19">
          <cell r="B19">
            <v>17</v>
          </cell>
          <cell r="E19">
            <v>1.30977805248725</v>
          </cell>
          <cell r="R19">
            <v>17</v>
          </cell>
          <cell r="S19">
            <v>1.5243251347265401</v>
          </cell>
          <cell r="W19">
            <v>98.5</v>
          </cell>
          <cell r="Y19">
            <v>1.4384244242440201</v>
          </cell>
        </row>
        <row r="20">
          <cell r="B20">
            <v>18</v>
          </cell>
          <cell r="E20">
            <v>1.3210304863170601</v>
          </cell>
          <cell r="R20">
            <v>18</v>
          </cell>
          <cell r="S20">
            <v>1.4279061564075901</v>
          </cell>
          <cell r="W20">
            <v>99</v>
          </cell>
          <cell r="Y20">
            <v>1.43924510093387</v>
          </cell>
        </row>
        <row r="21">
          <cell r="B21">
            <v>19</v>
          </cell>
          <cell r="E21">
            <v>1.33097975864591</v>
          </cell>
          <cell r="R21">
            <v>19</v>
          </cell>
          <cell r="S21">
            <v>1.33134943656725</v>
          </cell>
          <cell r="W21">
            <v>99.5</v>
          </cell>
          <cell r="Y21">
            <v>1.41855487415499</v>
          </cell>
        </row>
        <row r="22">
          <cell r="B22">
            <v>20</v>
          </cell>
          <cell r="E22">
            <v>1.33997689448211</v>
          </cell>
          <cell r="R22">
            <v>20</v>
          </cell>
          <cell r="S22">
            <v>1.24622659004585</v>
          </cell>
          <cell r="W22">
            <v>100</v>
          </cell>
          <cell r="Y22">
            <v>1.37928907006924</v>
          </cell>
        </row>
        <row r="23">
          <cell r="B23">
            <v>21</v>
          </cell>
          <cell r="E23">
            <v>1.3483186894249199</v>
          </cell>
          <cell r="R23">
            <v>21</v>
          </cell>
          <cell r="S23">
            <v>1.18997873532582</v>
          </cell>
          <cell r="W23">
            <v>90</v>
          </cell>
          <cell r="Y23">
            <v>2.82078462624786</v>
          </cell>
        </row>
        <row r="24">
          <cell r="B24">
            <v>22</v>
          </cell>
          <cell r="E24">
            <v>1.3562483524718401</v>
          </cell>
          <cell r="R24">
            <v>22</v>
          </cell>
          <cell r="S24">
            <v>1.1797145033424601</v>
          </cell>
          <cell r="W24">
            <v>90.5</v>
          </cell>
          <cell r="Y24">
            <v>2.7263679349143</v>
          </cell>
        </row>
        <row r="25">
          <cell r="B25">
            <v>23</v>
          </cell>
          <cell r="E25">
            <v>1.36395954727514</v>
          </cell>
          <cell r="R25">
            <v>23</v>
          </cell>
          <cell r="S25">
            <v>1.2207163836345101</v>
          </cell>
          <cell r="W25">
            <v>91</v>
          </cell>
          <cell r="Y25">
            <v>2.6374048676861901</v>
          </cell>
        </row>
        <row r="26">
          <cell r="B26">
            <v>24</v>
          </cell>
          <cell r="E26">
            <v>1.37160221770609</v>
          </cell>
          <cell r="R26">
            <v>24</v>
          </cell>
          <cell r="S26">
            <v>1.2973857226235199</v>
          </cell>
          <cell r="W26">
            <v>91.5</v>
          </cell>
          <cell r="Y26">
            <v>2.5550342840129701</v>
          </cell>
        </row>
        <row r="27">
          <cell r="B27">
            <v>25</v>
          </cell>
          <cell r="E27">
            <v>1.37928907006924</v>
          </cell>
          <cell r="R27">
            <v>25</v>
          </cell>
          <cell r="S27">
            <v>1.37928907006924</v>
          </cell>
          <cell r="W27">
            <v>92</v>
          </cell>
          <cell r="Y27">
            <v>2.4799125252062799</v>
          </cell>
        </row>
        <row r="28">
          <cell r="B28">
            <v>26</v>
          </cell>
          <cell r="E28">
            <v>1.38710198666175</v>
          </cell>
          <cell r="R28">
            <v>26</v>
          </cell>
          <cell r="S28">
            <v>1.44094029302439</v>
          </cell>
          <cell r="W28">
            <v>92.5</v>
          </cell>
          <cell r="Y28">
            <v>2.4123856668067201</v>
          </cell>
        </row>
        <row r="29">
          <cell r="B29">
            <v>27</v>
          </cell>
          <cell r="E29">
            <v>1.3950979486102699</v>
          </cell>
          <cell r="R29">
            <v>27</v>
          </cell>
          <cell r="S29">
            <v>1.4745295385956501</v>
          </cell>
          <cell r="W29">
            <v>93</v>
          </cell>
          <cell r="Y29">
            <v>2.3526919945903799</v>
          </cell>
        </row>
        <row r="30">
          <cell r="B30">
            <v>28</v>
          </cell>
          <cell r="E30">
            <v>1.4033142585592999</v>
          </cell>
          <cell r="R30">
            <v>28</v>
          </cell>
          <cell r="S30">
            <v>1.48634990970348</v>
          </cell>
          <cell r="W30">
            <v>93.5</v>
          </cell>
          <cell r="Y30">
            <v>2.3011897616111399</v>
          </cell>
        </row>
        <row r="31">
          <cell r="B31">
            <v>29</v>
          </cell>
          <cell r="E31">
            <v>1.4117729933615</v>
          </cell>
          <cell r="R31">
            <v>29</v>
          </cell>
          <cell r="S31">
            <v>1.48772459757355</v>
          </cell>
          <cell r="W31">
            <v>94</v>
          </cell>
          <cell r="Y31">
            <v>2.2586215244348602</v>
          </cell>
        </row>
        <row r="32">
          <cell r="B32">
            <v>30</v>
          </cell>
          <cell r="E32">
            <v>1.42048470212446</v>
          </cell>
          <cell r="R32">
            <v>30</v>
          </cell>
          <cell r="S32">
            <v>1.4890330280495101</v>
          </cell>
          <cell r="W32">
            <v>94.5</v>
          </cell>
          <cell r="Y32">
            <v>2.2264058672076001</v>
          </cell>
        </row>
        <row r="33">
          <cell r="B33">
            <v>31</v>
          </cell>
          <cell r="E33">
            <v>1.4294514121153901</v>
          </cell>
          <cell r="R33">
            <v>0</v>
          </cell>
          <cell r="S33">
            <v>1.15083521699197</v>
          </cell>
          <cell r="W33">
            <v>95</v>
          </cell>
          <cell r="Y33">
            <v>2.2068879834649602</v>
          </cell>
        </row>
        <row r="34">
          <cell r="B34">
            <v>32</v>
          </cell>
          <cell r="E34">
            <v>1.4386690269382101</v>
          </cell>
          <cell r="R34">
            <v>1</v>
          </cell>
          <cell r="S34">
            <v>1.17475606477432</v>
          </cell>
          <cell r="W34">
            <v>95.5</v>
          </cell>
          <cell r="Y34">
            <v>2.2033740605600798</v>
          </cell>
        </row>
        <row r="35">
          <cell r="B35">
            <v>33</v>
          </cell>
          <cell r="E35">
            <v>1.44812920749286</v>
          </cell>
          <cell r="R35">
            <v>2</v>
          </cell>
          <cell r="S35">
            <v>1.20090000367964</v>
          </cell>
          <cell r="W35">
            <v>96</v>
          </cell>
          <cell r="Y35">
            <v>2.2196297754269598</v>
          </cell>
        </row>
        <row r="36">
          <cell r="B36">
            <v>34</v>
          </cell>
          <cell r="E36">
            <v>1.4578208230691201</v>
          </cell>
          <cell r="R36">
            <v>3</v>
          </cell>
          <cell r="S36">
            <v>1.2296466590438899</v>
          </cell>
          <cell r="W36">
            <v>96.5</v>
          </cell>
          <cell r="Y36">
            <v>2.2584722312282799</v>
          </cell>
        </row>
        <row r="37">
          <cell r="B37">
            <v>35</v>
          </cell>
          <cell r="E37">
            <v>1.46773105189079</v>
          </cell>
          <cell r="R37">
            <v>4</v>
          </cell>
          <cell r="S37">
            <v>1.2613947870602999</v>
          </cell>
          <cell r="W37">
            <v>97</v>
          </cell>
          <cell r="Y37">
            <v>2.3194838667416202</v>
          </cell>
        </row>
        <row r="38">
          <cell r="B38">
            <v>36</v>
          </cell>
          <cell r="E38">
            <v>1.4778462002989201</v>
          </cell>
          <cell r="R38">
            <v>5</v>
          </cell>
          <cell r="S38">
            <v>1.2965462820368701</v>
          </cell>
          <cell r="W38">
            <v>97.5</v>
          </cell>
          <cell r="Y38">
            <v>2.3969971065324902</v>
          </cell>
        </row>
        <row r="39">
          <cell r="B39">
            <v>37</v>
          </cell>
          <cell r="E39">
            <v>1.48815229923026</v>
          </cell>
          <cell r="R39">
            <v>6</v>
          </cell>
          <cell r="S39">
            <v>1.3354961270085901</v>
          </cell>
          <cell r="W39">
            <v>98</v>
          </cell>
          <cell r="Y39">
            <v>2.4804790930230101</v>
          </cell>
        </row>
        <row r="40">
          <cell r="B40">
            <v>38</v>
          </cell>
          <cell r="E40">
            <v>1.49863552665865</v>
          </cell>
          <cell r="R40">
            <v>7</v>
          </cell>
          <cell r="S40">
            <v>1.3786354106174099</v>
          </cell>
          <cell r="W40">
            <v>98.5</v>
          </cell>
          <cell r="Y40">
            <v>2.5582157370612602</v>
          </cell>
        </row>
        <row r="41">
          <cell r="B41">
            <v>39</v>
          </cell>
          <cell r="E41">
            <v>1.5092824956979201</v>
          </cell>
          <cell r="R41">
            <v>8</v>
          </cell>
          <cell r="S41">
            <v>1.4263760105849299</v>
          </cell>
          <cell r="W41">
            <v>99</v>
          </cell>
          <cell r="Y41">
            <v>2.6218690298270202</v>
          </cell>
        </row>
        <row r="42">
          <cell r="B42">
            <v>40</v>
          </cell>
          <cell r="E42">
            <v>1.5200804402972099</v>
          </cell>
          <cell r="R42">
            <v>9</v>
          </cell>
          <cell r="S42">
            <v>1.47920806105534</v>
          </cell>
          <cell r="W42">
            <v>99.5</v>
          </cell>
          <cell r="Y42">
            <v>2.6682140889846599</v>
          </cell>
        </row>
        <row r="43">
          <cell r="B43">
            <v>41</v>
          </cell>
          <cell r="E43">
            <v>1.53101732390423</v>
          </cell>
          <cell r="R43">
            <v>10</v>
          </cell>
          <cell r="S43">
            <v>1.5378038186754199</v>
          </cell>
          <cell r="W43">
            <v>100</v>
          </cell>
          <cell r="Y43">
            <v>2.6971822241952901</v>
          </cell>
        </row>
        <row r="44">
          <cell r="B44">
            <v>42</v>
          </cell>
          <cell r="E44">
            <v>1.5420818910451799</v>
          </cell>
          <cell r="R44">
            <v>11</v>
          </cell>
          <cell r="S44">
            <v>1.6031778572198601</v>
          </cell>
        </row>
        <row r="45">
          <cell r="B45">
            <v>43</v>
          </cell>
          <cell r="E45">
            <v>1.5532636773458699</v>
          </cell>
          <cell r="R45">
            <v>12</v>
          </cell>
          <cell r="S45">
            <v>1.6768862685780599</v>
          </cell>
        </row>
        <row r="46">
          <cell r="B46">
            <v>44</v>
          </cell>
          <cell r="E46">
            <v>1.5645529899561901</v>
          </cell>
          <cell r="R46">
            <v>13</v>
          </cell>
          <cell r="S46">
            <v>1.76116124896017</v>
          </cell>
        </row>
        <row r="47">
          <cell r="B47">
            <v>45</v>
          </cell>
          <cell r="E47">
            <v>1.5759408675004001</v>
          </cell>
          <cell r="R47">
            <v>14</v>
          </cell>
          <cell r="S47">
            <v>1.85869287099101</v>
          </cell>
        </row>
        <row r="48">
          <cell r="B48">
            <v>46</v>
          </cell>
          <cell r="E48">
            <v>1.58741902643378</v>
          </cell>
          <cell r="R48">
            <v>15</v>
          </cell>
          <cell r="S48">
            <v>1.9715517431437199</v>
          </cell>
        </row>
        <row r="49">
          <cell r="B49">
            <v>47</v>
          </cell>
          <cell r="E49">
            <v>1.5989797989299099</v>
          </cell>
          <cell r="R49">
            <v>16</v>
          </cell>
          <cell r="S49">
            <v>2.0989186249366401</v>
          </cell>
        </row>
        <row r="50">
          <cell r="B50">
            <v>48</v>
          </cell>
          <cell r="E50">
            <v>1.6106160660575799</v>
          </cell>
          <cell r="R50">
            <v>17</v>
          </cell>
          <cell r="S50">
            <v>2.2345711085405</v>
          </cell>
        </row>
        <row r="51">
          <cell r="B51">
            <v>49</v>
          </cell>
          <cell r="E51">
            <v>1.62232118895393</v>
          </cell>
          <cell r="R51">
            <v>18</v>
          </cell>
          <cell r="S51">
            <v>2.36688336272096</v>
          </cell>
        </row>
        <row r="52">
          <cell r="B52">
            <v>50</v>
          </cell>
          <cell r="E52">
            <v>1.6340889398940801</v>
          </cell>
          <cell r="R52">
            <v>19</v>
          </cell>
          <cell r="S52">
            <v>2.4830652854064099</v>
          </cell>
        </row>
        <row r="53">
          <cell r="B53">
            <v>0</v>
          </cell>
          <cell r="E53">
            <v>0.93597488658064298</v>
          </cell>
          <cell r="R53">
            <v>20</v>
          </cell>
          <cell r="S53">
            <v>2.5746616065131702</v>
          </cell>
        </row>
        <row r="54">
          <cell r="B54">
            <v>1</v>
          </cell>
          <cell r="E54">
            <v>1.01189305473256</v>
          </cell>
          <cell r="R54">
            <v>21</v>
          </cell>
          <cell r="S54">
            <v>2.63962454412161</v>
          </cell>
        </row>
        <row r="55">
          <cell r="B55">
            <v>2</v>
          </cell>
          <cell r="E55">
            <v>1.0853730835200199</v>
          </cell>
          <cell r="R55">
            <v>22</v>
          </cell>
          <cell r="S55">
            <v>2.6804712781498998</v>
          </cell>
        </row>
        <row r="56">
          <cell r="B56">
            <v>3</v>
          </cell>
          <cell r="E56">
            <v>1.1559173639514999</v>
          </cell>
          <cell r="R56">
            <v>23</v>
          </cell>
          <cell r="S56">
            <v>2.7013567301694401</v>
          </cell>
        </row>
        <row r="57">
          <cell r="B57">
            <v>4</v>
          </cell>
          <cell r="E57">
            <v>1.22333226535588</v>
          </cell>
          <cell r="R57">
            <v>24</v>
          </cell>
          <cell r="S57">
            <v>2.7060674971542298</v>
          </cell>
        </row>
        <row r="58">
          <cell r="B58">
            <v>5</v>
          </cell>
          <cell r="E58">
            <v>1.28770210172903</v>
          </cell>
          <cell r="R58">
            <v>25</v>
          </cell>
          <cell r="S58">
            <v>2.6971822241952901</v>
          </cell>
        </row>
        <row r="59">
          <cell r="B59">
            <v>6</v>
          </cell>
          <cell r="E59">
            <v>1.34933964883479</v>
          </cell>
          <cell r="R59">
            <v>26</v>
          </cell>
          <cell r="S59">
            <v>2.6760147820673801</v>
          </cell>
        </row>
        <row r="60">
          <cell r="B60">
            <v>7</v>
          </cell>
          <cell r="E60">
            <v>1.4087272126417401</v>
          </cell>
          <cell r="R60">
            <v>27</v>
          </cell>
          <cell r="S60">
            <v>2.6430661605647101</v>
          </cell>
        </row>
        <row r="61">
          <cell r="B61">
            <v>8</v>
          </cell>
          <cell r="E61">
            <v>1.4664592468359099</v>
          </cell>
          <cell r="R61">
            <v>28</v>
          </cell>
          <cell r="S61">
            <v>2.5988942893973501</v>
          </cell>
        </row>
        <row r="62">
          <cell r="B62">
            <v>9</v>
          </cell>
          <cell r="E62">
            <v>1.5231930680119701</v>
          </cell>
          <cell r="R62">
            <v>29</v>
          </cell>
          <cell r="S62">
            <v>2.5453389272865001</v>
          </cell>
        </row>
        <row r="63">
          <cell r="B63">
            <v>10</v>
          </cell>
          <cell r="E63">
            <v>1.5796100834729001</v>
          </cell>
          <cell r="R63">
            <v>30</v>
          </cell>
          <cell r="S63">
            <v>2.4869086096428701</v>
          </cell>
        </row>
        <row r="64">
          <cell r="B64">
            <v>11</v>
          </cell>
          <cell r="E64">
            <v>1.63638699957973</v>
          </cell>
        </row>
        <row r="65">
          <cell r="B65">
            <v>12</v>
          </cell>
          <cell r="E65">
            <v>1.6941748505872201</v>
          </cell>
        </row>
        <row r="66">
          <cell r="B66">
            <v>13</v>
          </cell>
          <cell r="E66">
            <v>1.7535831181194199</v>
          </cell>
        </row>
        <row r="67">
          <cell r="B67">
            <v>14</v>
          </cell>
          <cell r="E67">
            <v>1.81516633818901</v>
          </cell>
        </row>
        <row r="68">
          <cell r="B68">
            <v>15</v>
          </cell>
          <cell r="E68">
            <v>1.8794111123038999</v>
          </cell>
        </row>
        <row r="69">
          <cell r="B69">
            <v>16</v>
          </cell>
          <cell r="E69">
            <v>1.9467221532302399</v>
          </cell>
        </row>
        <row r="70">
          <cell r="B70">
            <v>17</v>
          </cell>
          <cell r="E70">
            <v>2.0174067952038901</v>
          </cell>
        </row>
        <row r="71">
          <cell r="B71">
            <v>18</v>
          </cell>
          <cell r="E71">
            <v>2.09165822379875</v>
          </cell>
        </row>
        <row r="72">
          <cell r="B72">
            <v>19</v>
          </cell>
          <cell r="E72">
            <v>2.1695384838544101</v>
          </cell>
        </row>
        <row r="73">
          <cell r="B73">
            <v>20</v>
          </cell>
          <cell r="E73">
            <v>2.2509630380517902</v>
          </cell>
        </row>
        <row r="74">
          <cell r="B74">
            <v>21</v>
          </cell>
          <cell r="E74">
            <v>2.3356891763083301</v>
          </cell>
        </row>
        <row r="75">
          <cell r="B75">
            <v>22</v>
          </cell>
          <cell r="E75">
            <v>2.4233107964627099</v>
          </cell>
        </row>
        <row r="76">
          <cell r="B76">
            <v>23</v>
          </cell>
          <cell r="E76">
            <v>2.5132618745398498</v>
          </cell>
        </row>
        <row r="77">
          <cell r="B77">
            <v>24</v>
          </cell>
          <cell r="E77">
            <v>2.6048302526443301</v>
          </cell>
        </row>
        <row r="78">
          <cell r="B78">
            <v>25</v>
          </cell>
          <cell r="E78">
            <v>2.6971822241952901</v>
          </cell>
        </row>
        <row r="79">
          <cell r="B79">
            <v>26</v>
          </cell>
          <cell r="E79">
            <v>2.78939694267673</v>
          </cell>
        </row>
        <row r="80">
          <cell r="B80">
            <v>27</v>
          </cell>
          <cell r="E80">
            <v>2.8805081862186799</v>
          </cell>
        </row>
        <row r="81">
          <cell r="B81">
            <v>28</v>
          </cell>
          <cell r="E81">
            <v>2.9695497961415702</v>
          </cell>
        </row>
        <row r="82">
          <cell r="B82">
            <v>29</v>
          </cell>
          <cell r="E82">
            <v>3.0556004582551499</v>
          </cell>
        </row>
        <row r="83">
          <cell r="B83">
            <v>30</v>
          </cell>
          <cell r="E83">
            <v>3.13782357075167</v>
          </cell>
        </row>
        <row r="84">
          <cell r="B84">
            <v>31</v>
          </cell>
          <cell r="E84">
            <v>3.2154987220837201</v>
          </cell>
        </row>
        <row r="85">
          <cell r="B85">
            <v>32</v>
          </cell>
          <cell r="E85">
            <v>3.2880425941245002</v>
          </cell>
        </row>
        <row r="86">
          <cell r="B86">
            <v>33</v>
          </cell>
          <cell r="E86">
            <v>3.35501861076501</v>
          </cell>
        </row>
        <row r="87">
          <cell r="B87">
            <v>34</v>
          </cell>
          <cell r="E87">
            <v>3.4161360575645601</v>
          </cell>
        </row>
        <row r="88">
          <cell r="B88">
            <v>35</v>
          </cell>
          <cell r="E88">
            <v>3.4712404642738202</v>
          </cell>
        </row>
        <row r="89">
          <cell r="B89">
            <v>36</v>
          </cell>
          <cell r="E89">
            <v>3.5202976493920999</v>
          </cell>
        </row>
        <row r="90">
          <cell r="B90">
            <v>37</v>
          </cell>
          <cell r="E90">
            <v>3.5633739770342001</v>
          </cell>
        </row>
        <row r="91">
          <cell r="B91">
            <v>38</v>
          </cell>
          <cell r="E91">
            <v>3.6006151634039099</v>
          </cell>
        </row>
        <row r="92">
          <cell r="B92">
            <v>39</v>
          </cell>
          <cell r="E92">
            <v>3.6322255277010398</v>
          </cell>
        </row>
        <row r="93">
          <cell r="B93">
            <v>40</v>
          </cell>
          <cell r="E93">
            <v>3.6584490447223801</v>
          </cell>
        </row>
        <row r="94">
          <cell r="B94">
            <v>41</v>
          </cell>
          <cell r="E94">
            <v>3.6795530302274302</v>
          </cell>
        </row>
        <row r="95">
          <cell r="B95">
            <v>42</v>
          </cell>
          <cell r="E95">
            <v>3.6958148429296198</v>
          </cell>
        </row>
        <row r="96">
          <cell r="B96">
            <v>43</v>
          </cell>
          <cell r="E96">
            <v>3.70751164936777</v>
          </cell>
        </row>
        <row r="97">
          <cell r="B97">
            <v>44</v>
          </cell>
          <cell r="E97">
            <v>3.7149130724066</v>
          </cell>
        </row>
        <row r="98">
          <cell r="B98">
            <v>45</v>
          </cell>
          <cell r="E98">
            <v>3.7182764157641399</v>
          </cell>
        </row>
        <row r="99">
          <cell r="B99">
            <v>46</v>
          </cell>
          <cell r="E99">
            <v>3.71784410270191</v>
          </cell>
        </row>
        <row r="100">
          <cell r="B100">
            <v>47</v>
          </cell>
          <cell r="E100">
            <v>3.7138429622908098</v>
          </cell>
        </row>
        <row r="101">
          <cell r="B101">
            <v>48</v>
          </cell>
          <cell r="E101">
            <v>3.7064850193841998</v>
          </cell>
        </row>
        <row r="102">
          <cell r="B102">
            <v>49</v>
          </cell>
          <cell r="E102">
            <v>3.69596947680694</v>
          </cell>
        </row>
        <row r="103">
          <cell r="B103">
            <v>50</v>
          </cell>
          <cell r="E103">
            <v>3.6824856074307699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wmf"/><Relationship Id="rId4" Type="http://schemas.openxmlformats.org/officeDocument/2006/relationships/oleObject" Target="../embeddings/oleObject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K43" sqref="K4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D12" sqref="D12"/>
    </sheetView>
  </sheetViews>
  <sheetFormatPr defaultRowHeight="15" x14ac:dyDescent="0.25"/>
  <cols>
    <col min="1" max="1" width="18.28515625" customWidth="1"/>
    <col min="4" max="4" width="14.7109375" customWidth="1"/>
    <col min="5" max="5" width="10.140625" customWidth="1"/>
    <col min="6" max="6" width="10.42578125" customWidth="1"/>
    <col min="7" max="7" width="11.140625" customWidth="1"/>
    <col min="8" max="8" width="11.5703125" customWidth="1"/>
    <col min="9" max="9" width="10.5703125" bestFit="1" customWidth="1"/>
    <col min="12" max="12" width="14.5703125" customWidth="1"/>
    <col min="13" max="13" width="10.7109375" customWidth="1"/>
    <col min="14" max="14" width="11.7109375" customWidth="1"/>
    <col min="15" max="15" width="12.5703125" customWidth="1"/>
    <col min="16" max="16" width="13" customWidth="1"/>
  </cols>
  <sheetData>
    <row r="1" spans="1:9" x14ac:dyDescent="0.25">
      <c r="A1" s="11" t="s">
        <v>14</v>
      </c>
      <c r="B1" s="12" t="s">
        <v>0</v>
      </c>
      <c r="C1" s="13"/>
      <c r="D1" s="13"/>
      <c r="E1" s="13"/>
      <c r="F1" s="13"/>
      <c r="G1" s="13"/>
      <c r="H1" s="13"/>
      <c r="I1" s="14"/>
    </row>
    <row r="2" spans="1:9" x14ac:dyDescent="0.25">
      <c r="A2" s="11"/>
      <c r="B2" s="1" t="s">
        <v>15</v>
      </c>
      <c r="C2" s="1" t="s">
        <v>16</v>
      </c>
      <c r="D2" s="1" t="s">
        <v>17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18</v>
      </c>
    </row>
    <row r="3" spans="1:9" x14ac:dyDescent="0.25">
      <c r="A3" s="11"/>
      <c r="B3" s="1" t="s">
        <v>5</v>
      </c>
      <c r="C3" s="1">
        <v>1</v>
      </c>
      <c r="D3" s="1">
        <v>195.52</v>
      </c>
      <c r="E3" s="1">
        <v>810.87</v>
      </c>
      <c r="F3" s="1">
        <v>104.91</v>
      </c>
      <c r="G3" s="1">
        <v>8.2612000000000005</v>
      </c>
      <c r="H3" s="1">
        <v>7.9690000000000004E-3</v>
      </c>
      <c r="I3" s="1" t="s">
        <v>6</v>
      </c>
    </row>
    <row r="4" spans="1:9" x14ac:dyDescent="0.25">
      <c r="A4" s="11"/>
      <c r="B4" s="1" t="s">
        <v>7</v>
      </c>
      <c r="C4" s="1">
        <v>1</v>
      </c>
      <c r="D4" s="1">
        <v>758.02</v>
      </c>
      <c r="E4" s="1">
        <v>1373.37</v>
      </c>
      <c r="F4" s="1">
        <v>120.72</v>
      </c>
      <c r="G4" s="1">
        <v>32.028199999999998</v>
      </c>
      <c r="H4" s="2">
        <v>5.9540000000000001E-6</v>
      </c>
      <c r="I4" s="1" t="s">
        <v>8</v>
      </c>
    </row>
    <row r="5" spans="1:9" x14ac:dyDescent="0.25">
      <c r="A5" s="11"/>
      <c r="B5" s="1" t="s">
        <v>9</v>
      </c>
      <c r="C5" s="1">
        <v>1</v>
      </c>
      <c r="D5" s="1">
        <v>1000.08</v>
      </c>
      <c r="E5" s="1">
        <v>1615.43</v>
      </c>
      <c r="F5" s="1">
        <v>125.58</v>
      </c>
      <c r="G5" s="1">
        <v>42.255800000000001</v>
      </c>
      <c r="H5" s="2">
        <v>6.8569999999999995E-7</v>
      </c>
      <c r="I5" s="1" t="s">
        <v>8</v>
      </c>
    </row>
    <row r="6" spans="1:9" x14ac:dyDescent="0.25">
      <c r="A6" s="11" t="s">
        <v>19</v>
      </c>
      <c r="B6" s="12" t="s">
        <v>0</v>
      </c>
      <c r="C6" s="13"/>
      <c r="D6" s="13"/>
      <c r="E6" s="13"/>
      <c r="F6" s="13"/>
      <c r="G6" s="13"/>
      <c r="H6" s="13"/>
      <c r="I6" s="14"/>
    </row>
    <row r="7" spans="1:9" x14ac:dyDescent="0.25">
      <c r="A7" s="11"/>
      <c r="B7" s="1" t="s">
        <v>5</v>
      </c>
      <c r="C7" s="1">
        <v>1</v>
      </c>
      <c r="D7" s="1" t="s">
        <v>10</v>
      </c>
      <c r="E7" s="1">
        <v>1223.1400000000001</v>
      </c>
      <c r="F7" s="1">
        <v>117.24</v>
      </c>
      <c r="G7" s="1">
        <v>9.7058</v>
      </c>
      <c r="H7" s="1">
        <v>4.4390000000000002E-3</v>
      </c>
      <c r="I7" s="1" t="s">
        <v>6</v>
      </c>
    </row>
    <row r="8" spans="1:9" x14ac:dyDescent="0.25">
      <c r="A8" s="11"/>
      <c r="B8" s="1" t="s">
        <v>7</v>
      </c>
      <c r="C8" s="1">
        <v>1</v>
      </c>
      <c r="D8" s="1" t="s">
        <v>11</v>
      </c>
      <c r="E8" s="1">
        <v>894.33</v>
      </c>
      <c r="F8" s="1">
        <v>107.85</v>
      </c>
      <c r="G8" s="1">
        <v>0.10730000000000001</v>
      </c>
      <c r="H8" s="1">
        <v>0.74588399999999999</v>
      </c>
      <c r="I8" s="1"/>
    </row>
    <row r="9" spans="1:9" x14ac:dyDescent="0.25">
      <c r="A9" s="11"/>
      <c r="B9" s="1" t="s">
        <v>9</v>
      </c>
      <c r="C9" s="1">
        <v>1</v>
      </c>
      <c r="D9" s="1" t="s">
        <v>12</v>
      </c>
      <c r="E9" s="1">
        <v>1193.0999999999999</v>
      </c>
      <c r="F9" s="1">
        <v>116.49</v>
      </c>
      <c r="G9" s="1">
        <v>8.8289000000000009</v>
      </c>
      <c r="H9" s="1">
        <v>6.3090000000000004E-3</v>
      </c>
      <c r="I9" s="1" t="s">
        <v>6</v>
      </c>
    </row>
    <row r="10" spans="1:9" x14ac:dyDescent="0.25">
      <c r="A10" s="11"/>
      <c r="B10" s="12" t="s">
        <v>13</v>
      </c>
      <c r="C10" s="13"/>
      <c r="D10" s="13"/>
      <c r="E10" s="13"/>
      <c r="F10" s="13"/>
      <c r="G10" s="13"/>
      <c r="H10" s="13"/>
      <c r="I10" s="14"/>
    </row>
    <row r="11" spans="1:9" x14ac:dyDescent="0.25">
      <c r="A11" s="11"/>
      <c r="B11" s="1" t="s">
        <v>5</v>
      </c>
      <c r="C11" s="1">
        <v>1</v>
      </c>
      <c r="D11" s="1" t="s">
        <v>10</v>
      </c>
      <c r="E11" s="1">
        <v>1226.81</v>
      </c>
      <c r="F11" s="1">
        <v>115.33</v>
      </c>
      <c r="G11" s="1">
        <v>10.037699999999999</v>
      </c>
      <c r="H11" s="1">
        <v>3.7889999999999998E-3</v>
      </c>
      <c r="I11" s="1" t="s">
        <v>6</v>
      </c>
    </row>
    <row r="12" spans="1:9" x14ac:dyDescent="0.25">
      <c r="A12" s="11"/>
      <c r="B12" s="1" t="s">
        <v>9</v>
      </c>
      <c r="C12" s="1">
        <v>1</v>
      </c>
      <c r="D12" s="1" t="s">
        <v>12</v>
      </c>
      <c r="E12" s="1">
        <v>1196.77</v>
      </c>
      <c r="F12" s="1">
        <v>114.59</v>
      </c>
      <c r="G12" s="1">
        <v>9.1308000000000007</v>
      </c>
      <c r="H12" s="1">
        <v>5.4469999999999996E-3</v>
      </c>
      <c r="I12" s="1" t="s">
        <v>6</v>
      </c>
    </row>
    <row r="14" spans="1:9" ht="15.6" customHeight="1" x14ac:dyDescent="0.25">
      <c r="A14" s="4" t="s">
        <v>20</v>
      </c>
      <c r="B14" s="4" t="s">
        <v>21</v>
      </c>
      <c r="C14" s="3" t="s">
        <v>22</v>
      </c>
    </row>
  </sheetData>
  <mergeCells count="5">
    <mergeCell ref="A1:A5"/>
    <mergeCell ref="A6:A12"/>
    <mergeCell ref="B1:I1"/>
    <mergeCell ref="B6:I6"/>
    <mergeCell ref="B10:I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40" sqref="N4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G2" sqref="G2:K37"/>
    </sheetView>
  </sheetViews>
  <sheetFormatPr defaultRowHeight="15" x14ac:dyDescent="0.25"/>
  <sheetData>
    <row r="1" spans="1:11" x14ac:dyDescent="0.25">
      <c r="A1" t="s">
        <v>23</v>
      </c>
      <c r="B1" t="s">
        <v>7</v>
      </c>
      <c r="C1" t="s">
        <v>9</v>
      </c>
      <c r="D1" t="s">
        <v>5</v>
      </c>
      <c r="E1" t="s">
        <v>24</v>
      </c>
      <c r="G1" t="s">
        <v>23</v>
      </c>
      <c r="H1" t="s">
        <v>7</v>
      </c>
      <c r="I1" t="s">
        <v>9</v>
      </c>
      <c r="J1" t="s">
        <v>5</v>
      </c>
      <c r="K1" t="s">
        <v>24</v>
      </c>
    </row>
    <row r="2" spans="1:11" x14ac:dyDescent="0.25">
      <c r="A2" t="s">
        <v>26</v>
      </c>
      <c r="B2">
        <v>90</v>
      </c>
      <c r="C2">
        <v>17</v>
      </c>
      <c r="D2">
        <v>0</v>
      </c>
      <c r="G2" t="s">
        <v>25</v>
      </c>
      <c r="H2">
        <v>90</v>
      </c>
      <c r="I2">
        <v>17</v>
      </c>
      <c r="J2">
        <v>0</v>
      </c>
    </row>
    <row r="3" spans="1:11" x14ac:dyDescent="0.25">
      <c r="A3" t="s">
        <v>26</v>
      </c>
      <c r="B3">
        <v>90</v>
      </c>
      <c r="C3">
        <v>25</v>
      </c>
      <c r="D3">
        <v>0</v>
      </c>
      <c r="G3" t="s">
        <v>25</v>
      </c>
      <c r="H3">
        <v>90</v>
      </c>
      <c r="I3">
        <v>25</v>
      </c>
      <c r="J3">
        <v>0</v>
      </c>
    </row>
    <row r="4" spans="1:11" x14ac:dyDescent="0.25">
      <c r="A4" t="s">
        <v>26</v>
      </c>
      <c r="B4">
        <v>90</v>
      </c>
      <c r="C4">
        <v>30</v>
      </c>
      <c r="D4">
        <v>0</v>
      </c>
      <c r="G4" t="s">
        <v>25</v>
      </c>
      <c r="H4">
        <v>90</v>
      </c>
      <c r="I4">
        <v>30</v>
      </c>
      <c r="J4">
        <v>0</v>
      </c>
    </row>
    <row r="5" spans="1:11" x14ac:dyDescent="0.25">
      <c r="A5" t="s">
        <v>26</v>
      </c>
      <c r="B5">
        <v>90</v>
      </c>
      <c r="C5">
        <v>17</v>
      </c>
      <c r="D5">
        <v>5</v>
      </c>
      <c r="E5">
        <v>44.076114924758656</v>
      </c>
      <c r="G5" t="s">
        <v>25</v>
      </c>
      <c r="H5">
        <v>90</v>
      </c>
      <c r="I5">
        <v>17</v>
      </c>
      <c r="J5">
        <v>5</v>
      </c>
      <c r="K5">
        <v>35.665817072055646</v>
      </c>
    </row>
    <row r="6" spans="1:11" x14ac:dyDescent="0.25">
      <c r="A6" t="s">
        <v>26</v>
      </c>
      <c r="B6">
        <v>90</v>
      </c>
      <c r="C6">
        <v>25</v>
      </c>
      <c r="D6">
        <v>5</v>
      </c>
      <c r="E6">
        <v>27.553987608618694</v>
      </c>
      <c r="G6" t="s">
        <v>25</v>
      </c>
      <c r="H6">
        <v>90</v>
      </c>
      <c r="I6">
        <v>25</v>
      </c>
      <c r="J6">
        <v>5</v>
      </c>
      <c r="K6">
        <v>37.582783347377173</v>
      </c>
    </row>
    <row r="7" spans="1:11" x14ac:dyDescent="0.25">
      <c r="A7" t="s">
        <v>26</v>
      </c>
      <c r="B7">
        <v>90</v>
      </c>
      <c r="C7">
        <v>30</v>
      </c>
      <c r="D7">
        <v>5</v>
      </c>
      <c r="E7">
        <v>39.102058125822872</v>
      </c>
      <c r="G7" t="s">
        <v>25</v>
      </c>
      <c r="H7">
        <v>90</v>
      </c>
      <c r="I7">
        <v>30</v>
      </c>
      <c r="J7">
        <v>5</v>
      </c>
      <c r="K7">
        <v>18.422484545139888</v>
      </c>
    </row>
    <row r="8" spans="1:11" x14ac:dyDescent="0.25">
      <c r="A8" t="s">
        <v>26</v>
      </c>
      <c r="B8">
        <v>90</v>
      </c>
      <c r="C8">
        <v>17</v>
      </c>
      <c r="D8">
        <v>10</v>
      </c>
      <c r="E8">
        <v>38.907942426929395</v>
      </c>
      <c r="G8" t="s">
        <v>25</v>
      </c>
      <c r="H8">
        <v>90</v>
      </c>
      <c r="I8">
        <v>17</v>
      </c>
      <c r="J8">
        <v>10</v>
      </c>
      <c r="K8">
        <v>17.406388267051874</v>
      </c>
    </row>
    <row r="9" spans="1:11" x14ac:dyDescent="0.25">
      <c r="A9" t="s">
        <v>26</v>
      </c>
      <c r="B9">
        <v>90</v>
      </c>
      <c r="C9">
        <v>25</v>
      </c>
      <c r="D9">
        <v>10</v>
      </c>
      <c r="E9">
        <v>36.733598749608831</v>
      </c>
      <c r="G9" t="s">
        <v>25</v>
      </c>
      <c r="H9">
        <v>90</v>
      </c>
      <c r="I9">
        <v>25</v>
      </c>
      <c r="J9">
        <v>10</v>
      </c>
      <c r="K9">
        <v>17.861875856311098</v>
      </c>
    </row>
    <row r="10" spans="1:11" x14ac:dyDescent="0.25">
      <c r="A10" t="s">
        <v>26</v>
      </c>
      <c r="B10">
        <v>90</v>
      </c>
      <c r="C10">
        <v>30</v>
      </c>
      <c r="D10">
        <v>10</v>
      </c>
      <c r="E10">
        <v>17.57071662400854</v>
      </c>
      <c r="G10" t="s">
        <v>25</v>
      </c>
      <c r="H10">
        <v>90</v>
      </c>
      <c r="I10">
        <v>30</v>
      </c>
      <c r="J10">
        <v>10</v>
      </c>
      <c r="K10">
        <v>14.59879774475033</v>
      </c>
    </row>
    <row r="11" spans="1:11" x14ac:dyDescent="0.25">
      <c r="A11" t="s">
        <v>26</v>
      </c>
      <c r="B11">
        <v>90</v>
      </c>
      <c r="C11">
        <v>17</v>
      </c>
      <c r="D11">
        <v>15</v>
      </c>
      <c r="E11">
        <v>28.948758922600923</v>
      </c>
      <c r="G11" t="s">
        <v>25</v>
      </c>
      <c r="H11">
        <v>90</v>
      </c>
      <c r="I11">
        <v>17</v>
      </c>
      <c r="J11">
        <v>15</v>
      </c>
      <c r="K11">
        <v>26.354532999117044</v>
      </c>
    </row>
    <row r="12" spans="1:11" x14ac:dyDescent="0.25">
      <c r="A12" t="s">
        <v>26</v>
      </c>
      <c r="B12">
        <v>90</v>
      </c>
      <c r="C12">
        <v>25</v>
      </c>
      <c r="D12">
        <v>15</v>
      </c>
      <c r="E12">
        <v>26.468056415918262</v>
      </c>
      <c r="G12" t="s">
        <v>25</v>
      </c>
      <c r="H12">
        <v>90</v>
      </c>
      <c r="I12">
        <v>25</v>
      </c>
      <c r="J12">
        <v>15</v>
      </c>
      <c r="K12">
        <v>19.829193836797909</v>
      </c>
    </row>
    <row r="13" spans="1:11" x14ac:dyDescent="0.25">
      <c r="A13" t="s">
        <v>26</v>
      </c>
      <c r="B13">
        <v>90</v>
      </c>
      <c r="C13">
        <v>30</v>
      </c>
      <c r="D13">
        <v>15</v>
      </c>
      <c r="E13">
        <v>20.623108006640138</v>
      </c>
      <c r="G13" t="s">
        <v>25</v>
      </c>
      <c r="H13">
        <v>90</v>
      </c>
      <c r="I13">
        <v>30</v>
      </c>
      <c r="J13">
        <v>15</v>
      </c>
      <c r="K13">
        <v>13.896692559864119</v>
      </c>
    </row>
    <row r="14" spans="1:11" x14ac:dyDescent="0.25">
      <c r="A14" t="s">
        <v>26</v>
      </c>
      <c r="B14">
        <v>90</v>
      </c>
      <c r="C14">
        <v>17</v>
      </c>
      <c r="D14">
        <v>25</v>
      </c>
      <c r="E14">
        <v>29.583761479678795</v>
      </c>
      <c r="G14" t="s">
        <v>25</v>
      </c>
      <c r="H14">
        <v>90</v>
      </c>
      <c r="I14">
        <v>17</v>
      </c>
      <c r="J14">
        <v>25</v>
      </c>
      <c r="K14">
        <v>21.648386475636087</v>
      </c>
    </row>
    <row r="15" spans="1:11" x14ac:dyDescent="0.25">
      <c r="A15" t="s">
        <v>26</v>
      </c>
      <c r="B15">
        <v>90</v>
      </c>
      <c r="C15">
        <v>25</v>
      </c>
      <c r="D15">
        <v>25</v>
      </c>
      <c r="E15">
        <v>20.494604155587865</v>
      </c>
      <c r="G15" t="s">
        <v>25</v>
      </c>
      <c r="H15">
        <v>90</v>
      </c>
      <c r="I15">
        <v>25</v>
      </c>
      <c r="J15">
        <v>25</v>
      </c>
      <c r="K15">
        <v>13.906291309537202</v>
      </c>
    </row>
    <row r="16" spans="1:11" x14ac:dyDescent="0.25">
      <c r="A16" t="s">
        <v>26</v>
      </c>
      <c r="B16">
        <v>90</v>
      </c>
      <c r="C16">
        <v>30</v>
      </c>
      <c r="D16">
        <v>25</v>
      </c>
      <c r="E16">
        <v>22.149807844348263</v>
      </c>
      <c r="G16" t="s">
        <v>25</v>
      </c>
      <c r="H16">
        <v>90</v>
      </c>
      <c r="I16">
        <v>30</v>
      </c>
      <c r="J16">
        <v>25</v>
      </c>
      <c r="K16">
        <v>13.921715638291323</v>
      </c>
    </row>
    <row r="17" spans="1:11" x14ac:dyDescent="0.25">
      <c r="A17" t="s">
        <v>26</v>
      </c>
      <c r="B17">
        <v>90</v>
      </c>
      <c r="C17">
        <v>17</v>
      </c>
      <c r="D17">
        <v>50</v>
      </c>
      <c r="E17">
        <v>30.151636499741151</v>
      </c>
      <c r="G17" t="s">
        <v>25</v>
      </c>
      <c r="H17">
        <v>90</v>
      </c>
      <c r="I17">
        <v>17</v>
      </c>
      <c r="J17">
        <v>50</v>
      </c>
      <c r="K17">
        <v>21.228593318388047</v>
      </c>
    </row>
    <row r="18" spans="1:11" x14ac:dyDescent="0.25">
      <c r="A18" t="s">
        <v>26</v>
      </c>
      <c r="B18">
        <v>90</v>
      </c>
      <c r="C18">
        <v>25</v>
      </c>
      <c r="D18">
        <v>50</v>
      </c>
      <c r="E18">
        <v>22.389000686029284</v>
      </c>
      <c r="G18" t="s">
        <v>25</v>
      </c>
      <c r="H18">
        <v>90</v>
      </c>
      <c r="I18">
        <v>25</v>
      </c>
      <c r="J18">
        <v>50</v>
      </c>
      <c r="K18">
        <v>13.971720670382201</v>
      </c>
    </row>
    <row r="19" spans="1:11" x14ac:dyDescent="0.25">
      <c r="A19" t="s">
        <v>26</v>
      </c>
      <c r="B19">
        <v>90</v>
      </c>
      <c r="C19">
        <v>30</v>
      </c>
      <c r="D19">
        <v>50</v>
      </c>
      <c r="E19">
        <v>15.44064196365353</v>
      </c>
      <c r="G19" t="s">
        <v>25</v>
      </c>
      <c r="H19">
        <v>90</v>
      </c>
      <c r="I19">
        <v>30</v>
      </c>
      <c r="J19">
        <v>50</v>
      </c>
      <c r="K19">
        <v>13.333333333333334</v>
      </c>
    </row>
    <row r="20" spans="1:11" x14ac:dyDescent="0.25">
      <c r="A20" t="s">
        <v>26</v>
      </c>
      <c r="B20">
        <v>100</v>
      </c>
      <c r="C20">
        <v>17</v>
      </c>
      <c r="D20">
        <v>0</v>
      </c>
      <c r="G20" t="s">
        <v>25</v>
      </c>
      <c r="H20">
        <v>100</v>
      </c>
      <c r="I20">
        <v>17</v>
      </c>
      <c r="J20">
        <v>0</v>
      </c>
    </row>
    <row r="21" spans="1:11" x14ac:dyDescent="0.25">
      <c r="A21" t="s">
        <v>26</v>
      </c>
      <c r="B21">
        <v>100</v>
      </c>
      <c r="C21">
        <v>25</v>
      </c>
      <c r="D21">
        <v>0</v>
      </c>
      <c r="G21" t="s">
        <v>25</v>
      </c>
      <c r="H21">
        <v>100</v>
      </c>
      <c r="I21">
        <v>25</v>
      </c>
      <c r="J21">
        <v>0</v>
      </c>
    </row>
    <row r="22" spans="1:11" x14ac:dyDescent="0.25">
      <c r="A22" t="s">
        <v>26</v>
      </c>
      <c r="B22">
        <v>100</v>
      </c>
      <c r="C22">
        <v>30</v>
      </c>
      <c r="D22">
        <v>0</v>
      </c>
      <c r="G22" t="s">
        <v>25</v>
      </c>
      <c r="H22">
        <v>100</v>
      </c>
      <c r="I22">
        <v>30</v>
      </c>
      <c r="J22">
        <v>0</v>
      </c>
    </row>
    <row r="23" spans="1:11" x14ac:dyDescent="0.25">
      <c r="A23" t="s">
        <v>26</v>
      </c>
      <c r="B23">
        <v>100</v>
      </c>
      <c r="C23">
        <v>17</v>
      </c>
      <c r="D23">
        <v>5</v>
      </c>
      <c r="E23">
        <v>29.863113926591673</v>
      </c>
      <c r="G23" t="s">
        <v>25</v>
      </c>
      <c r="H23">
        <v>100</v>
      </c>
      <c r="I23">
        <v>17</v>
      </c>
      <c r="J23">
        <v>5</v>
      </c>
      <c r="K23">
        <v>27.702759134582802</v>
      </c>
    </row>
    <row r="24" spans="1:11" x14ac:dyDescent="0.25">
      <c r="A24" t="s">
        <v>26</v>
      </c>
      <c r="B24">
        <v>100</v>
      </c>
      <c r="C24">
        <v>25</v>
      </c>
      <c r="D24">
        <v>5</v>
      </c>
      <c r="E24">
        <v>21.767543626336916</v>
      </c>
      <c r="G24" t="s">
        <v>25</v>
      </c>
      <c r="H24">
        <v>100</v>
      </c>
      <c r="I24">
        <v>25</v>
      </c>
      <c r="J24">
        <v>5</v>
      </c>
      <c r="K24">
        <v>19.216374006092384</v>
      </c>
    </row>
    <row r="25" spans="1:11" x14ac:dyDescent="0.25">
      <c r="A25" t="s">
        <v>26</v>
      </c>
      <c r="B25">
        <v>100</v>
      </c>
      <c r="C25">
        <v>30</v>
      </c>
      <c r="D25">
        <v>5</v>
      </c>
      <c r="E25">
        <v>11.000833472245374</v>
      </c>
      <c r="G25" t="s">
        <v>25</v>
      </c>
      <c r="H25">
        <v>100</v>
      </c>
      <c r="I25">
        <v>30</v>
      </c>
      <c r="J25">
        <v>5</v>
      </c>
      <c r="K25">
        <v>15.969622345487462</v>
      </c>
    </row>
    <row r="26" spans="1:11" x14ac:dyDescent="0.25">
      <c r="A26" t="s">
        <v>26</v>
      </c>
      <c r="B26">
        <v>100</v>
      </c>
      <c r="C26">
        <v>17</v>
      </c>
      <c r="D26">
        <v>10</v>
      </c>
      <c r="E26">
        <v>24.906970936207657</v>
      </c>
      <c r="G26" t="s">
        <v>25</v>
      </c>
      <c r="H26">
        <v>100</v>
      </c>
      <c r="I26">
        <v>17</v>
      </c>
      <c r="J26">
        <v>10</v>
      </c>
      <c r="K26">
        <v>25.884911430349334</v>
      </c>
    </row>
    <row r="27" spans="1:11" x14ac:dyDescent="0.25">
      <c r="A27" t="s">
        <v>26</v>
      </c>
      <c r="B27">
        <v>100</v>
      </c>
      <c r="C27">
        <v>25</v>
      </c>
      <c r="D27">
        <v>10</v>
      </c>
      <c r="E27">
        <v>18.953398075968401</v>
      </c>
      <c r="G27" t="s">
        <v>25</v>
      </c>
      <c r="H27">
        <v>100</v>
      </c>
      <c r="I27">
        <v>25</v>
      </c>
      <c r="J27">
        <v>10</v>
      </c>
      <c r="K27">
        <v>34.574667526128671</v>
      </c>
    </row>
    <row r="28" spans="1:11" x14ac:dyDescent="0.25">
      <c r="A28" t="s">
        <v>26</v>
      </c>
      <c r="B28">
        <v>100</v>
      </c>
      <c r="C28">
        <v>30</v>
      </c>
      <c r="D28">
        <v>10</v>
      </c>
      <c r="E28">
        <v>9.6519281865976794</v>
      </c>
      <c r="G28" t="s">
        <v>25</v>
      </c>
      <c r="H28">
        <v>100</v>
      </c>
      <c r="I28">
        <v>30</v>
      </c>
      <c r="J28">
        <v>10</v>
      </c>
      <c r="K28">
        <v>25.457699550286765</v>
      </c>
    </row>
    <row r="29" spans="1:11" x14ac:dyDescent="0.25">
      <c r="A29" t="s">
        <v>26</v>
      </c>
      <c r="B29">
        <v>100</v>
      </c>
      <c r="C29">
        <v>17</v>
      </c>
      <c r="D29">
        <v>15</v>
      </c>
      <c r="E29">
        <v>25.01255807183523</v>
      </c>
      <c r="G29" t="s">
        <v>25</v>
      </c>
      <c r="H29">
        <v>100</v>
      </c>
      <c r="I29">
        <v>17</v>
      </c>
      <c r="J29">
        <v>15</v>
      </c>
      <c r="K29">
        <v>16.063875041674077</v>
      </c>
    </row>
    <row r="30" spans="1:11" x14ac:dyDescent="0.25">
      <c r="A30" t="s">
        <v>26</v>
      </c>
      <c r="B30">
        <v>100</v>
      </c>
      <c r="C30">
        <v>25</v>
      </c>
      <c r="D30">
        <v>15</v>
      </c>
      <c r="E30">
        <v>19.55192701693262</v>
      </c>
      <c r="G30" t="s">
        <v>25</v>
      </c>
      <c r="H30">
        <v>100</v>
      </c>
      <c r="I30">
        <v>25</v>
      </c>
      <c r="J30">
        <v>15</v>
      </c>
      <c r="K30">
        <v>17.29611786501318</v>
      </c>
    </row>
    <row r="31" spans="1:11" x14ac:dyDescent="0.25">
      <c r="A31" t="s">
        <v>26</v>
      </c>
      <c r="B31">
        <v>100</v>
      </c>
      <c r="C31">
        <v>30</v>
      </c>
      <c r="D31">
        <v>15</v>
      </c>
      <c r="E31">
        <v>8.6406432723457378</v>
      </c>
      <c r="G31" t="s">
        <v>25</v>
      </c>
      <c r="H31">
        <v>100</v>
      </c>
      <c r="I31">
        <v>30</v>
      </c>
      <c r="J31">
        <v>15</v>
      </c>
      <c r="K31">
        <v>11.084721057439532</v>
      </c>
    </row>
    <row r="32" spans="1:11" x14ac:dyDescent="0.25">
      <c r="A32" t="s">
        <v>26</v>
      </c>
      <c r="B32">
        <v>100</v>
      </c>
      <c r="C32">
        <v>17</v>
      </c>
      <c r="D32">
        <v>25</v>
      </c>
      <c r="E32">
        <v>24.533665304096733</v>
      </c>
      <c r="G32" t="s">
        <v>25</v>
      </c>
      <c r="H32">
        <v>100</v>
      </c>
      <c r="I32">
        <v>17</v>
      </c>
      <c r="J32">
        <v>25</v>
      </c>
      <c r="K32">
        <v>25.485997066253489</v>
      </c>
    </row>
    <row r="33" spans="1:11" x14ac:dyDescent="0.25">
      <c r="A33" t="s">
        <v>26</v>
      </c>
      <c r="B33">
        <v>100</v>
      </c>
      <c r="C33">
        <v>25</v>
      </c>
      <c r="D33">
        <v>25</v>
      </c>
      <c r="E33">
        <v>15.949187125649971</v>
      </c>
      <c r="G33" t="s">
        <v>25</v>
      </c>
      <c r="H33">
        <v>100</v>
      </c>
      <c r="I33">
        <v>25</v>
      </c>
      <c r="J33">
        <v>25</v>
      </c>
      <c r="K33">
        <v>16.716251207894082</v>
      </c>
    </row>
    <row r="34" spans="1:11" x14ac:dyDescent="0.25">
      <c r="A34" t="s">
        <v>26</v>
      </c>
      <c r="B34">
        <v>100</v>
      </c>
      <c r="C34">
        <v>30</v>
      </c>
      <c r="D34">
        <v>25</v>
      </c>
      <c r="E34">
        <v>8.1174104070721498</v>
      </c>
      <c r="G34" t="s">
        <v>25</v>
      </c>
      <c r="H34">
        <v>100</v>
      </c>
      <c r="I34">
        <v>30</v>
      </c>
      <c r="J34">
        <v>25</v>
      </c>
      <c r="K34">
        <v>12.819963797666203</v>
      </c>
    </row>
    <row r="35" spans="1:11" x14ac:dyDescent="0.25">
      <c r="A35" t="s">
        <v>26</v>
      </c>
      <c r="B35">
        <v>100</v>
      </c>
      <c r="C35">
        <v>17</v>
      </c>
      <c r="D35">
        <v>50</v>
      </c>
      <c r="E35">
        <v>25.956495006994544</v>
      </c>
      <c r="G35" t="s">
        <v>25</v>
      </c>
      <c r="H35">
        <v>100</v>
      </c>
      <c r="I35">
        <v>17</v>
      </c>
      <c r="J35">
        <v>50</v>
      </c>
      <c r="K35">
        <v>13.380571005082963</v>
      </c>
    </row>
    <row r="36" spans="1:11" x14ac:dyDescent="0.25">
      <c r="A36" t="s">
        <v>26</v>
      </c>
      <c r="B36">
        <v>100</v>
      </c>
      <c r="C36">
        <v>25</v>
      </c>
      <c r="D36">
        <v>50</v>
      </c>
      <c r="E36">
        <v>17.789829200038596</v>
      </c>
      <c r="G36" t="s">
        <v>25</v>
      </c>
      <c r="H36">
        <v>100</v>
      </c>
      <c r="I36">
        <v>25</v>
      </c>
      <c r="J36">
        <v>50</v>
      </c>
      <c r="K36">
        <v>17.142857142857142</v>
      </c>
    </row>
    <row r="37" spans="1:11" x14ac:dyDescent="0.25">
      <c r="A37" t="s">
        <v>26</v>
      </c>
      <c r="B37">
        <v>100</v>
      </c>
      <c r="C37">
        <v>30</v>
      </c>
      <c r="D37">
        <v>50</v>
      </c>
      <c r="E37">
        <v>7.6481026218565873</v>
      </c>
      <c r="G37" t="s">
        <v>25</v>
      </c>
      <c r="H37">
        <v>100</v>
      </c>
      <c r="I37">
        <v>30</v>
      </c>
      <c r="J37">
        <v>50</v>
      </c>
      <c r="K37">
        <v>10.210424563901572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43" workbookViewId="0">
      <selection activeCell="E2" sqref="E2:E61"/>
    </sheetView>
  </sheetViews>
  <sheetFormatPr defaultRowHeight="15" x14ac:dyDescent="0.25"/>
  <cols>
    <col min="6" max="6" width="15" bestFit="1" customWidth="1"/>
  </cols>
  <sheetData>
    <row r="1" spans="1:6" x14ac:dyDescent="0.25">
      <c r="A1" t="s">
        <v>23</v>
      </c>
      <c r="B1" t="s">
        <v>29</v>
      </c>
      <c r="C1" t="s">
        <v>28</v>
      </c>
      <c r="D1" t="s">
        <v>5</v>
      </c>
      <c r="E1" t="s">
        <v>27</v>
      </c>
      <c r="F1" t="s">
        <v>49</v>
      </c>
    </row>
    <row r="2" spans="1:6" x14ac:dyDescent="0.25">
      <c r="A2">
        <v>0</v>
      </c>
      <c r="B2">
        <v>90</v>
      </c>
      <c r="C2">
        <v>17</v>
      </c>
      <c r="D2">
        <v>5</v>
      </c>
      <c r="E2" s="10">
        <v>44.076114924758656</v>
      </c>
      <c r="F2">
        <f>'Multi-Reg'!$B$3+'Multi-Reg'!$B$4*Tindata!A2+'Multi-Reg'!$B$5*Tindata!D2+'Multi-Reg'!$B$6*Tindata!B2+'Multi-Reg'!$B$7*Tindata!C2</f>
        <v>32.789369999999991</v>
      </c>
    </row>
    <row r="3" spans="1:6" x14ac:dyDescent="0.25">
      <c r="A3">
        <v>0</v>
      </c>
      <c r="B3">
        <v>90</v>
      </c>
      <c r="C3">
        <v>25</v>
      </c>
      <c r="D3">
        <v>5</v>
      </c>
      <c r="E3" s="10">
        <v>27.553987608618694</v>
      </c>
      <c r="F3">
        <f>'Multi-Reg'!$B$3+'Multi-Reg'!$B$4*Tindata!A3+'Multi-Reg'!$B$5*Tindata!D3+'Multi-Reg'!$B$6*Tindata!B3+'Multi-Reg'!$B$7*Tindata!C3</f>
        <v>26.106729999999995</v>
      </c>
    </row>
    <row r="4" spans="1:6" x14ac:dyDescent="0.25">
      <c r="A4">
        <v>0</v>
      </c>
      <c r="B4">
        <v>90</v>
      </c>
      <c r="C4">
        <v>30</v>
      </c>
      <c r="D4">
        <v>5</v>
      </c>
      <c r="E4" s="10">
        <v>39.102058125822872</v>
      </c>
      <c r="F4">
        <f>'Multi-Reg'!$B$3+'Multi-Reg'!$B$4*Tindata!A4+'Multi-Reg'!$B$5*Tindata!D4+'Multi-Reg'!$B$6*Tindata!B4+'Multi-Reg'!$B$7*Tindata!C4</f>
        <v>21.930079999999997</v>
      </c>
    </row>
    <row r="5" spans="1:6" x14ac:dyDescent="0.25">
      <c r="A5">
        <v>0</v>
      </c>
      <c r="B5">
        <v>90</v>
      </c>
      <c r="C5">
        <v>17</v>
      </c>
      <c r="D5">
        <v>10</v>
      </c>
      <c r="E5" s="10">
        <v>38.907942426929395</v>
      </c>
      <c r="F5">
        <f>'Multi-Reg'!$B$3+'Multi-Reg'!$B$4*Tindata!A5+'Multi-Reg'!$B$5*Tindata!D5+'Multi-Reg'!$B$6*Tindata!B5+'Multi-Reg'!$B$7*Tindata!C5</f>
        <v>31.868269999999985</v>
      </c>
    </row>
    <row r="6" spans="1:6" x14ac:dyDescent="0.25">
      <c r="A6">
        <v>0</v>
      </c>
      <c r="B6">
        <v>90</v>
      </c>
      <c r="C6">
        <v>25</v>
      </c>
      <c r="D6">
        <v>10</v>
      </c>
      <c r="E6" s="10">
        <v>36.733598749608831</v>
      </c>
      <c r="F6">
        <f>'Multi-Reg'!$B$3+'Multi-Reg'!$B$4*Tindata!A6+'Multi-Reg'!$B$5*Tindata!D6+'Multi-Reg'!$B$6*Tindata!B6+'Multi-Reg'!$B$7*Tindata!C6</f>
        <v>25.185629999999986</v>
      </c>
    </row>
    <row r="7" spans="1:6" x14ac:dyDescent="0.25">
      <c r="A7">
        <v>0</v>
      </c>
      <c r="B7">
        <v>90</v>
      </c>
      <c r="C7">
        <v>30</v>
      </c>
      <c r="D7">
        <v>10</v>
      </c>
      <c r="E7" s="10">
        <v>17.57071662400854</v>
      </c>
      <c r="F7">
        <f>'Multi-Reg'!$B$3+'Multi-Reg'!$B$4*Tindata!A7+'Multi-Reg'!$B$5*Tindata!D7+'Multi-Reg'!$B$6*Tindata!B7+'Multi-Reg'!$B$7*Tindata!C7</f>
        <v>21.008979999999987</v>
      </c>
    </row>
    <row r="8" spans="1:6" x14ac:dyDescent="0.25">
      <c r="A8">
        <v>0</v>
      </c>
      <c r="B8">
        <v>90</v>
      </c>
      <c r="C8">
        <v>17</v>
      </c>
      <c r="D8">
        <v>15</v>
      </c>
      <c r="E8" s="10">
        <v>28.948758922600923</v>
      </c>
      <c r="F8">
        <f>'Multi-Reg'!$B$3+'Multi-Reg'!$B$4*Tindata!A8+'Multi-Reg'!$B$5*Tindata!D8+'Multi-Reg'!$B$6*Tindata!B8+'Multi-Reg'!$B$7*Tindata!C8</f>
        <v>30.947169999999989</v>
      </c>
    </row>
    <row r="9" spans="1:6" x14ac:dyDescent="0.25">
      <c r="A9">
        <v>0</v>
      </c>
      <c r="B9">
        <v>90</v>
      </c>
      <c r="C9">
        <v>25</v>
      </c>
      <c r="D9">
        <v>15</v>
      </c>
      <c r="E9" s="10">
        <v>26.468056415918262</v>
      </c>
      <c r="F9">
        <f>'Multi-Reg'!$B$3+'Multi-Reg'!$B$4*Tindata!A9+'Multi-Reg'!$B$5*Tindata!D9+'Multi-Reg'!$B$6*Tindata!B9+'Multi-Reg'!$B$7*Tindata!C9</f>
        <v>24.26452999999999</v>
      </c>
    </row>
    <row r="10" spans="1:6" x14ac:dyDescent="0.25">
      <c r="A10">
        <v>0</v>
      </c>
      <c r="B10">
        <v>90</v>
      </c>
      <c r="C10">
        <v>30</v>
      </c>
      <c r="D10">
        <v>15</v>
      </c>
      <c r="E10" s="10">
        <v>20.623108006640138</v>
      </c>
      <c r="F10">
        <f>'Multi-Reg'!$B$3+'Multi-Reg'!$B$4*Tindata!A10+'Multi-Reg'!$B$5*Tindata!D10+'Multi-Reg'!$B$6*Tindata!B10+'Multi-Reg'!$B$7*Tindata!C10</f>
        <v>20.087879999999991</v>
      </c>
    </row>
    <row r="11" spans="1:6" x14ac:dyDescent="0.25">
      <c r="A11">
        <v>0</v>
      </c>
      <c r="B11">
        <v>90</v>
      </c>
      <c r="C11">
        <v>17</v>
      </c>
      <c r="D11">
        <v>25</v>
      </c>
      <c r="E11" s="10">
        <v>29.583761479678795</v>
      </c>
      <c r="F11">
        <f>'Multi-Reg'!$B$3+'Multi-Reg'!$B$4*Tindata!A11+'Multi-Reg'!$B$5*Tindata!D11+'Multi-Reg'!$B$6*Tindata!B11+'Multi-Reg'!$B$7*Tindata!C11</f>
        <v>29.104969999999984</v>
      </c>
    </row>
    <row r="12" spans="1:6" x14ac:dyDescent="0.25">
      <c r="A12">
        <v>0</v>
      </c>
      <c r="B12">
        <v>90</v>
      </c>
      <c r="C12">
        <v>25</v>
      </c>
      <c r="D12">
        <v>25</v>
      </c>
      <c r="E12" s="10">
        <v>20.494604155587865</v>
      </c>
      <c r="F12">
        <f>'Multi-Reg'!$B$3+'Multi-Reg'!$B$4*Tindata!A12+'Multi-Reg'!$B$5*Tindata!D12+'Multi-Reg'!$B$6*Tindata!B12+'Multi-Reg'!$B$7*Tindata!C12</f>
        <v>22.422329999999985</v>
      </c>
    </row>
    <row r="13" spans="1:6" x14ac:dyDescent="0.25">
      <c r="A13">
        <v>0</v>
      </c>
      <c r="B13">
        <v>90</v>
      </c>
      <c r="C13">
        <v>30</v>
      </c>
      <c r="D13">
        <v>25</v>
      </c>
      <c r="E13" s="10">
        <v>22.149807844348263</v>
      </c>
      <c r="F13">
        <f>'Multi-Reg'!$B$3+'Multi-Reg'!$B$4*Tindata!A13+'Multi-Reg'!$B$5*Tindata!D13+'Multi-Reg'!$B$6*Tindata!B13+'Multi-Reg'!$B$7*Tindata!C13</f>
        <v>18.245679999999986</v>
      </c>
    </row>
    <row r="14" spans="1:6" x14ac:dyDescent="0.25">
      <c r="A14">
        <v>0</v>
      </c>
      <c r="B14">
        <v>90</v>
      </c>
      <c r="C14">
        <v>17</v>
      </c>
      <c r="D14">
        <v>50</v>
      </c>
      <c r="E14" s="10">
        <v>30.151636499741151</v>
      </c>
      <c r="F14">
        <f>'Multi-Reg'!$B$3+'Multi-Reg'!$B$4*Tindata!A14+'Multi-Reg'!$B$5*Tindata!D14+'Multi-Reg'!$B$6*Tindata!B14+'Multi-Reg'!$B$7*Tindata!C14</f>
        <v>24.499469999999992</v>
      </c>
    </row>
    <row r="15" spans="1:6" x14ac:dyDescent="0.25">
      <c r="A15">
        <v>0</v>
      </c>
      <c r="B15">
        <v>90</v>
      </c>
      <c r="C15">
        <v>25</v>
      </c>
      <c r="D15">
        <v>50</v>
      </c>
      <c r="E15" s="10">
        <v>22.389000686029284</v>
      </c>
      <c r="F15">
        <f>'Multi-Reg'!$B$3+'Multi-Reg'!$B$4*Tindata!A15+'Multi-Reg'!$B$5*Tindata!D15+'Multi-Reg'!$B$6*Tindata!B15+'Multi-Reg'!$B$7*Tindata!C15</f>
        <v>17.816829999999992</v>
      </c>
    </row>
    <row r="16" spans="1:6" x14ac:dyDescent="0.25">
      <c r="A16">
        <v>0</v>
      </c>
      <c r="B16">
        <v>90</v>
      </c>
      <c r="C16">
        <v>30</v>
      </c>
      <c r="D16">
        <v>50</v>
      </c>
      <c r="E16" s="10">
        <v>15.44064196365353</v>
      </c>
      <c r="F16">
        <f>'Multi-Reg'!$B$3+'Multi-Reg'!$B$4*Tindata!A16+'Multi-Reg'!$B$5*Tindata!D16+'Multi-Reg'!$B$6*Tindata!B16+'Multi-Reg'!$B$7*Tindata!C16</f>
        <v>13.640179999999994</v>
      </c>
    </row>
    <row r="17" spans="1:13" x14ac:dyDescent="0.25">
      <c r="A17">
        <v>0</v>
      </c>
      <c r="B17">
        <v>100</v>
      </c>
      <c r="C17">
        <v>17</v>
      </c>
      <c r="D17">
        <v>5</v>
      </c>
      <c r="E17" s="10">
        <v>29.863113926591673</v>
      </c>
      <c r="F17">
        <f>'Multi-Reg'!$B$3+'Multi-Reg'!$B$4*Tindata!A17+'Multi-Reg'!$B$5*Tindata!D17+'Multi-Reg'!$B$6*Tindata!B17+'Multi-Reg'!$B$7*Tindata!C17</f>
        <v>27.408669999999997</v>
      </c>
    </row>
    <row r="18" spans="1:13" x14ac:dyDescent="0.25">
      <c r="A18">
        <v>0</v>
      </c>
      <c r="B18">
        <v>100</v>
      </c>
      <c r="C18">
        <v>25</v>
      </c>
      <c r="D18">
        <v>5</v>
      </c>
      <c r="E18" s="10">
        <v>21.767543626336916</v>
      </c>
      <c r="F18">
        <f>'Multi-Reg'!$B$3+'Multi-Reg'!$B$4*Tindata!A18+'Multi-Reg'!$B$5*Tindata!D18+'Multi-Reg'!$B$6*Tindata!B18+'Multi-Reg'!$B$7*Tindata!C18</f>
        <v>20.726029999999998</v>
      </c>
    </row>
    <row r="19" spans="1:13" x14ac:dyDescent="0.25">
      <c r="A19">
        <v>0</v>
      </c>
      <c r="B19">
        <v>100</v>
      </c>
      <c r="C19">
        <v>30</v>
      </c>
      <c r="D19">
        <v>5</v>
      </c>
      <c r="E19" s="10">
        <v>11.000833472245374</v>
      </c>
      <c r="F19">
        <f>'Multi-Reg'!$B$3+'Multi-Reg'!$B$4*Tindata!A19+'Multi-Reg'!$B$5*Tindata!D19+'Multi-Reg'!$B$6*Tindata!B19+'Multi-Reg'!$B$7*Tindata!C19</f>
        <v>16.549379999999999</v>
      </c>
    </row>
    <row r="20" spans="1:13" x14ac:dyDescent="0.25">
      <c r="A20">
        <v>0</v>
      </c>
      <c r="B20">
        <v>100</v>
      </c>
      <c r="C20">
        <v>17</v>
      </c>
      <c r="D20">
        <v>10</v>
      </c>
      <c r="E20" s="10">
        <v>24.906970936207657</v>
      </c>
      <c r="F20">
        <f>'Multi-Reg'!$B$3+'Multi-Reg'!$B$4*Tindata!A20+'Multi-Reg'!$B$5*Tindata!D20+'Multi-Reg'!$B$6*Tindata!B20+'Multi-Reg'!$B$7*Tindata!C20</f>
        <v>26.487569999999987</v>
      </c>
    </row>
    <row r="21" spans="1:13" x14ac:dyDescent="0.25">
      <c r="A21">
        <v>0</v>
      </c>
      <c r="B21">
        <v>100</v>
      </c>
      <c r="C21">
        <v>25</v>
      </c>
      <c r="D21">
        <v>10</v>
      </c>
      <c r="E21" s="10">
        <v>18.953398075968401</v>
      </c>
      <c r="F21">
        <f>'Multi-Reg'!$B$3+'Multi-Reg'!$B$4*Tindata!A21+'Multi-Reg'!$B$5*Tindata!D21+'Multi-Reg'!$B$6*Tindata!B21+'Multi-Reg'!$B$7*Tindata!C21</f>
        <v>19.804929999999988</v>
      </c>
    </row>
    <row r="22" spans="1:13" x14ac:dyDescent="0.25">
      <c r="A22">
        <v>0</v>
      </c>
      <c r="B22">
        <v>100</v>
      </c>
      <c r="C22">
        <v>30</v>
      </c>
      <c r="D22">
        <v>10</v>
      </c>
      <c r="E22" s="10">
        <v>9.6519281865976794</v>
      </c>
      <c r="F22">
        <f>'Multi-Reg'!$B$3+'Multi-Reg'!$B$4*Tindata!A22+'Multi-Reg'!$B$5*Tindata!D22+'Multi-Reg'!$B$6*Tindata!B22+'Multi-Reg'!$B$7*Tindata!C22</f>
        <v>15.62827999999999</v>
      </c>
    </row>
    <row r="23" spans="1:13" x14ac:dyDescent="0.25">
      <c r="A23">
        <v>0</v>
      </c>
      <c r="B23">
        <v>100</v>
      </c>
      <c r="C23">
        <v>17</v>
      </c>
      <c r="D23">
        <v>15</v>
      </c>
      <c r="E23" s="10">
        <v>25.01255807183523</v>
      </c>
      <c r="F23">
        <f>'Multi-Reg'!$B$3+'Multi-Reg'!$B$4*Tindata!A23+'Multi-Reg'!$B$5*Tindata!D23+'Multi-Reg'!$B$6*Tindata!B23+'Multi-Reg'!$B$7*Tindata!C23</f>
        <v>25.566469999999992</v>
      </c>
    </row>
    <row r="24" spans="1:13" x14ac:dyDescent="0.25">
      <c r="A24">
        <v>0</v>
      </c>
      <c r="B24">
        <v>100</v>
      </c>
      <c r="C24">
        <v>25</v>
      </c>
      <c r="D24">
        <v>15</v>
      </c>
      <c r="E24" s="10">
        <v>19.55192701693262</v>
      </c>
      <c r="F24">
        <f>'Multi-Reg'!$B$3+'Multi-Reg'!$B$4*Tindata!A24+'Multi-Reg'!$B$5*Tindata!D24+'Multi-Reg'!$B$6*Tindata!B24+'Multi-Reg'!$B$7*Tindata!C24</f>
        <v>18.883829999999993</v>
      </c>
      <c r="L24" t="s">
        <v>50</v>
      </c>
      <c r="M24" s="6">
        <f>SQRT(0.5442)</f>
        <v>0.73769912566031959</v>
      </c>
    </row>
    <row r="25" spans="1:13" x14ac:dyDescent="0.25">
      <c r="A25">
        <v>0</v>
      </c>
      <c r="B25">
        <v>100</v>
      </c>
      <c r="C25">
        <v>30</v>
      </c>
      <c r="D25">
        <v>15</v>
      </c>
      <c r="E25" s="10">
        <v>8.6406432723457378</v>
      </c>
      <c r="F25">
        <f>'Multi-Reg'!$B$3+'Multi-Reg'!$B$4*Tindata!A25+'Multi-Reg'!$B$5*Tindata!D25+'Multi-Reg'!$B$6*Tindata!B25+'Multi-Reg'!$B$7*Tindata!C25</f>
        <v>14.707179999999994</v>
      </c>
    </row>
    <row r="26" spans="1:13" x14ac:dyDescent="0.25">
      <c r="A26">
        <v>0</v>
      </c>
      <c r="B26">
        <v>100</v>
      </c>
      <c r="C26">
        <v>17</v>
      </c>
      <c r="D26">
        <v>25</v>
      </c>
      <c r="E26" s="10">
        <v>24.533665304096733</v>
      </c>
      <c r="F26">
        <f>'Multi-Reg'!$B$3+'Multi-Reg'!$B$4*Tindata!A26+'Multi-Reg'!$B$5*Tindata!D26+'Multi-Reg'!$B$6*Tindata!B26+'Multi-Reg'!$B$7*Tindata!C26</f>
        <v>23.724269999999986</v>
      </c>
    </row>
    <row r="27" spans="1:13" x14ac:dyDescent="0.25">
      <c r="A27">
        <v>0</v>
      </c>
      <c r="B27">
        <v>100</v>
      </c>
      <c r="C27">
        <v>25</v>
      </c>
      <c r="D27">
        <v>25</v>
      </c>
      <c r="E27" s="10">
        <v>15.949187125649971</v>
      </c>
      <c r="F27">
        <f>'Multi-Reg'!$B$3+'Multi-Reg'!$B$4*Tindata!A27+'Multi-Reg'!$B$5*Tindata!D27+'Multi-Reg'!$B$6*Tindata!B27+'Multi-Reg'!$B$7*Tindata!C27</f>
        <v>17.041629999999987</v>
      </c>
    </row>
    <row r="28" spans="1:13" x14ac:dyDescent="0.25">
      <c r="A28">
        <v>0</v>
      </c>
      <c r="B28">
        <v>100</v>
      </c>
      <c r="C28">
        <v>30</v>
      </c>
      <c r="D28">
        <v>25</v>
      </c>
      <c r="E28" s="10">
        <v>8.1174104070721498</v>
      </c>
      <c r="F28">
        <f>'Multi-Reg'!$B$3+'Multi-Reg'!$B$4*Tindata!A28+'Multi-Reg'!$B$5*Tindata!D28+'Multi-Reg'!$B$6*Tindata!B28+'Multi-Reg'!$B$7*Tindata!C28</f>
        <v>12.864979999999989</v>
      </c>
    </row>
    <row r="29" spans="1:13" x14ac:dyDescent="0.25">
      <c r="A29">
        <v>0</v>
      </c>
      <c r="B29">
        <v>100</v>
      </c>
      <c r="C29">
        <v>17</v>
      </c>
      <c r="D29">
        <v>50</v>
      </c>
      <c r="E29" s="10">
        <v>25.956495006994544</v>
      </c>
      <c r="F29">
        <f>'Multi-Reg'!$B$3+'Multi-Reg'!$B$4*Tindata!A29+'Multi-Reg'!$B$5*Tindata!D29+'Multi-Reg'!$B$6*Tindata!B29+'Multi-Reg'!$B$7*Tindata!C29</f>
        <v>19.118769999999994</v>
      </c>
    </row>
    <row r="30" spans="1:13" x14ac:dyDescent="0.25">
      <c r="A30">
        <v>0</v>
      </c>
      <c r="B30">
        <v>100</v>
      </c>
      <c r="C30">
        <v>25</v>
      </c>
      <c r="D30">
        <v>50</v>
      </c>
      <c r="E30" s="10">
        <v>17.789829200038596</v>
      </c>
      <c r="F30">
        <f>'Multi-Reg'!$B$3+'Multi-Reg'!$B$4*Tindata!A30+'Multi-Reg'!$B$5*Tindata!D30+'Multi-Reg'!$B$6*Tindata!B30+'Multi-Reg'!$B$7*Tindata!C30</f>
        <v>12.436129999999995</v>
      </c>
    </row>
    <row r="31" spans="1:13" x14ac:dyDescent="0.25">
      <c r="A31">
        <v>0</v>
      </c>
      <c r="B31">
        <v>100</v>
      </c>
      <c r="C31">
        <v>30</v>
      </c>
      <c r="D31">
        <v>50</v>
      </c>
      <c r="E31" s="10">
        <v>7.6481026218565873</v>
      </c>
      <c r="F31">
        <f>'Multi-Reg'!$B$3+'Multi-Reg'!$B$4*Tindata!A31+'Multi-Reg'!$B$5*Tindata!D31+'Multi-Reg'!$B$6*Tindata!B31+'Multi-Reg'!$B$7*Tindata!C31</f>
        <v>8.2594799999999964</v>
      </c>
    </row>
    <row r="32" spans="1:13" x14ac:dyDescent="0.25">
      <c r="A32">
        <v>1</v>
      </c>
      <c r="B32">
        <v>90</v>
      </c>
      <c r="C32">
        <v>17</v>
      </c>
      <c r="D32">
        <v>5</v>
      </c>
      <c r="E32" s="10">
        <v>35.665817072055646</v>
      </c>
      <c r="F32">
        <f>'Multi-Reg'!$B$3+'Multi-Reg'!$B$4*Tindata!A32+'Multi-Reg'!$B$5*Tindata!D32+'Multi-Reg'!$B$6*Tindata!B32+'Multi-Reg'!$B$7*Tindata!C32</f>
        <v>34.472109999999986</v>
      </c>
    </row>
    <row r="33" spans="1:6" x14ac:dyDescent="0.25">
      <c r="A33">
        <v>1</v>
      </c>
      <c r="B33">
        <v>90</v>
      </c>
      <c r="C33">
        <v>25</v>
      </c>
      <c r="D33">
        <v>5</v>
      </c>
      <c r="E33" s="10">
        <v>37.582783347377173</v>
      </c>
      <c r="F33">
        <f>'Multi-Reg'!$B$3+'Multi-Reg'!$B$4*Tindata!A33+'Multi-Reg'!$B$5*Tindata!D33+'Multi-Reg'!$B$6*Tindata!B33+'Multi-Reg'!$B$7*Tindata!C33</f>
        <v>27.789469999999991</v>
      </c>
    </row>
    <row r="34" spans="1:6" x14ac:dyDescent="0.25">
      <c r="A34">
        <v>1</v>
      </c>
      <c r="B34">
        <v>90</v>
      </c>
      <c r="C34">
        <v>30</v>
      </c>
      <c r="D34">
        <v>5</v>
      </c>
      <c r="E34" s="10">
        <v>18.422484545139888</v>
      </c>
      <c r="F34">
        <f>'Multi-Reg'!$B$3+'Multi-Reg'!$B$4*Tindata!A34+'Multi-Reg'!$B$5*Tindata!D34+'Multi-Reg'!$B$6*Tindata!B34+'Multi-Reg'!$B$7*Tindata!C34</f>
        <v>23.612819999999992</v>
      </c>
    </row>
    <row r="35" spans="1:6" x14ac:dyDescent="0.25">
      <c r="A35">
        <v>1</v>
      </c>
      <c r="B35">
        <v>90</v>
      </c>
      <c r="C35">
        <v>17</v>
      </c>
      <c r="D35">
        <v>10</v>
      </c>
      <c r="E35" s="10">
        <v>17.406388267051874</v>
      </c>
      <c r="F35">
        <f>'Multi-Reg'!$B$3+'Multi-Reg'!$B$4*Tindata!A35+'Multi-Reg'!$B$5*Tindata!D35+'Multi-Reg'!$B$6*Tindata!B35+'Multi-Reg'!$B$7*Tindata!C35</f>
        <v>33.551009999999977</v>
      </c>
    </row>
    <row r="36" spans="1:6" x14ac:dyDescent="0.25">
      <c r="A36">
        <v>1</v>
      </c>
      <c r="B36">
        <v>90</v>
      </c>
      <c r="C36">
        <v>25</v>
      </c>
      <c r="D36">
        <v>10</v>
      </c>
      <c r="E36" s="10">
        <v>17.861875856311098</v>
      </c>
      <c r="F36">
        <f>'Multi-Reg'!$B$3+'Multi-Reg'!$B$4*Tindata!A36+'Multi-Reg'!$B$5*Tindata!D36+'Multi-Reg'!$B$6*Tindata!B36+'Multi-Reg'!$B$7*Tindata!C36</f>
        <v>26.868369999999981</v>
      </c>
    </row>
    <row r="37" spans="1:6" x14ac:dyDescent="0.25">
      <c r="A37">
        <v>1</v>
      </c>
      <c r="B37">
        <v>90</v>
      </c>
      <c r="C37">
        <v>30</v>
      </c>
      <c r="D37">
        <v>10</v>
      </c>
      <c r="E37" s="10">
        <v>14.59879774475033</v>
      </c>
      <c r="F37">
        <f>'Multi-Reg'!$B$3+'Multi-Reg'!$B$4*Tindata!A37+'Multi-Reg'!$B$5*Tindata!D37+'Multi-Reg'!$B$6*Tindata!B37+'Multi-Reg'!$B$7*Tindata!C37</f>
        <v>22.691719999999982</v>
      </c>
    </row>
    <row r="38" spans="1:6" x14ac:dyDescent="0.25">
      <c r="A38">
        <v>1</v>
      </c>
      <c r="B38">
        <v>90</v>
      </c>
      <c r="C38">
        <v>17</v>
      </c>
      <c r="D38">
        <v>15</v>
      </c>
      <c r="E38" s="10">
        <v>26.354532999117044</v>
      </c>
      <c r="F38">
        <f>'Multi-Reg'!$B$3+'Multi-Reg'!$B$4*Tindata!A38+'Multi-Reg'!$B$5*Tindata!D38+'Multi-Reg'!$B$6*Tindata!B38+'Multi-Reg'!$B$7*Tindata!C38</f>
        <v>32.629909999999981</v>
      </c>
    </row>
    <row r="39" spans="1:6" x14ac:dyDescent="0.25">
      <c r="A39">
        <v>1</v>
      </c>
      <c r="B39">
        <v>90</v>
      </c>
      <c r="C39">
        <v>25</v>
      </c>
      <c r="D39">
        <v>15</v>
      </c>
      <c r="E39" s="10">
        <v>19.829193836797909</v>
      </c>
      <c r="F39">
        <f>'Multi-Reg'!$B$3+'Multi-Reg'!$B$4*Tindata!A39+'Multi-Reg'!$B$5*Tindata!D39+'Multi-Reg'!$B$6*Tindata!B39+'Multi-Reg'!$B$7*Tindata!C39</f>
        <v>25.947269999999985</v>
      </c>
    </row>
    <row r="40" spans="1:6" x14ac:dyDescent="0.25">
      <c r="A40">
        <v>1</v>
      </c>
      <c r="B40">
        <v>90</v>
      </c>
      <c r="C40">
        <v>30</v>
      </c>
      <c r="D40">
        <v>15</v>
      </c>
      <c r="E40" s="10">
        <v>13.896692559864119</v>
      </c>
      <c r="F40">
        <f>'Multi-Reg'!$B$3+'Multi-Reg'!$B$4*Tindata!A40+'Multi-Reg'!$B$5*Tindata!D40+'Multi-Reg'!$B$6*Tindata!B40+'Multi-Reg'!$B$7*Tindata!C40</f>
        <v>21.770619999999987</v>
      </c>
    </row>
    <row r="41" spans="1:6" x14ac:dyDescent="0.25">
      <c r="A41">
        <v>1</v>
      </c>
      <c r="B41">
        <v>90</v>
      </c>
      <c r="C41">
        <v>17</v>
      </c>
      <c r="D41">
        <v>25</v>
      </c>
      <c r="E41" s="10">
        <v>21.648386475636087</v>
      </c>
      <c r="F41">
        <f>'Multi-Reg'!$B$3+'Multi-Reg'!$B$4*Tindata!A41+'Multi-Reg'!$B$5*Tindata!D41+'Multi-Reg'!$B$6*Tindata!B41+'Multi-Reg'!$B$7*Tindata!C41</f>
        <v>30.787709999999979</v>
      </c>
    </row>
    <row r="42" spans="1:6" x14ac:dyDescent="0.25">
      <c r="A42">
        <v>1</v>
      </c>
      <c r="B42">
        <v>90</v>
      </c>
      <c r="C42">
        <v>25</v>
      </c>
      <c r="D42">
        <v>25</v>
      </c>
      <c r="E42" s="10">
        <v>13.906291309537202</v>
      </c>
      <c r="F42">
        <f>'Multi-Reg'!$B$3+'Multi-Reg'!$B$4*Tindata!A42+'Multi-Reg'!$B$5*Tindata!D42+'Multi-Reg'!$B$6*Tindata!B42+'Multi-Reg'!$B$7*Tindata!C42</f>
        <v>24.10506999999998</v>
      </c>
    </row>
    <row r="43" spans="1:6" x14ac:dyDescent="0.25">
      <c r="A43">
        <v>1</v>
      </c>
      <c r="B43">
        <v>90</v>
      </c>
      <c r="C43">
        <v>30</v>
      </c>
      <c r="D43">
        <v>25</v>
      </c>
      <c r="E43" s="10">
        <v>13.921715638291323</v>
      </c>
      <c r="F43">
        <f>'Multi-Reg'!$B$3+'Multi-Reg'!$B$4*Tindata!A43+'Multi-Reg'!$B$5*Tindata!D43+'Multi-Reg'!$B$6*Tindata!B43+'Multi-Reg'!$B$7*Tindata!C43</f>
        <v>19.928419999999981</v>
      </c>
    </row>
    <row r="44" spans="1:6" x14ac:dyDescent="0.25">
      <c r="A44">
        <v>1</v>
      </c>
      <c r="B44">
        <v>90</v>
      </c>
      <c r="C44">
        <v>17</v>
      </c>
      <c r="D44">
        <v>50</v>
      </c>
      <c r="E44" s="10">
        <v>21.228593318388047</v>
      </c>
      <c r="F44">
        <f>'Multi-Reg'!$B$3+'Multi-Reg'!$B$4*Tindata!A44+'Multi-Reg'!$B$5*Tindata!D44+'Multi-Reg'!$B$6*Tindata!B44+'Multi-Reg'!$B$7*Tindata!C44</f>
        <v>26.182209999999987</v>
      </c>
    </row>
    <row r="45" spans="1:6" x14ac:dyDescent="0.25">
      <c r="A45">
        <v>1</v>
      </c>
      <c r="B45">
        <v>90</v>
      </c>
      <c r="C45">
        <v>25</v>
      </c>
      <c r="D45">
        <v>50</v>
      </c>
      <c r="E45" s="10">
        <v>13.971720670382201</v>
      </c>
      <c r="F45">
        <f>'Multi-Reg'!$B$3+'Multi-Reg'!$B$4*Tindata!A45+'Multi-Reg'!$B$5*Tindata!D45+'Multi-Reg'!$B$6*Tindata!B45+'Multi-Reg'!$B$7*Tindata!C45</f>
        <v>19.499569999999988</v>
      </c>
    </row>
    <row r="46" spans="1:6" x14ac:dyDescent="0.25">
      <c r="A46">
        <v>1</v>
      </c>
      <c r="B46">
        <v>90</v>
      </c>
      <c r="C46">
        <v>30</v>
      </c>
      <c r="D46">
        <v>50</v>
      </c>
      <c r="E46" s="10">
        <v>13.333333333333334</v>
      </c>
      <c r="F46">
        <f>'Multi-Reg'!$B$3+'Multi-Reg'!$B$4*Tindata!A46+'Multi-Reg'!$B$5*Tindata!D46+'Multi-Reg'!$B$6*Tindata!B46+'Multi-Reg'!$B$7*Tindata!C46</f>
        <v>15.322919999999989</v>
      </c>
    </row>
    <row r="47" spans="1:6" x14ac:dyDescent="0.25">
      <c r="A47">
        <v>1</v>
      </c>
      <c r="B47">
        <v>100</v>
      </c>
      <c r="C47">
        <v>17</v>
      </c>
      <c r="D47">
        <v>5</v>
      </c>
      <c r="E47" s="10">
        <v>27.702759134582802</v>
      </c>
      <c r="F47">
        <f>'Multi-Reg'!$B$3+'Multi-Reg'!$B$4*Tindata!A47+'Multi-Reg'!$B$5*Tindata!D47+'Multi-Reg'!$B$6*Tindata!B47+'Multi-Reg'!$B$7*Tindata!C47</f>
        <v>29.091409999999993</v>
      </c>
    </row>
    <row r="48" spans="1:6" x14ac:dyDescent="0.25">
      <c r="A48">
        <v>1</v>
      </c>
      <c r="B48">
        <v>100</v>
      </c>
      <c r="C48">
        <v>25</v>
      </c>
      <c r="D48">
        <v>5</v>
      </c>
      <c r="E48" s="10">
        <v>19.216374006092384</v>
      </c>
      <c r="F48">
        <f>'Multi-Reg'!$B$3+'Multi-Reg'!$B$4*Tindata!A48+'Multi-Reg'!$B$5*Tindata!D48+'Multi-Reg'!$B$6*Tindata!B48+'Multi-Reg'!$B$7*Tindata!C48</f>
        <v>22.408769999999993</v>
      </c>
    </row>
    <row r="49" spans="1:6" x14ac:dyDescent="0.25">
      <c r="A49">
        <v>1</v>
      </c>
      <c r="B49">
        <v>100</v>
      </c>
      <c r="C49">
        <v>30</v>
      </c>
      <c r="D49">
        <v>5</v>
      </c>
      <c r="E49" s="10">
        <v>15.969622345487462</v>
      </c>
      <c r="F49">
        <f>'Multi-Reg'!$B$3+'Multi-Reg'!$B$4*Tindata!A49+'Multi-Reg'!$B$5*Tindata!D49+'Multi-Reg'!$B$6*Tindata!B49+'Multi-Reg'!$B$7*Tindata!C49</f>
        <v>18.232119999999995</v>
      </c>
    </row>
    <row r="50" spans="1:6" x14ac:dyDescent="0.25">
      <c r="A50">
        <v>1</v>
      </c>
      <c r="B50">
        <v>100</v>
      </c>
      <c r="C50">
        <v>17</v>
      </c>
      <c r="D50">
        <v>10</v>
      </c>
      <c r="E50" s="10">
        <v>25.884911430349334</v>
      </c>
      <c r="F50">
        <f>'Multi-Reg'!$B$3+'Multi-Reg'!$B$4*Tindata!A50+'Multi-Reg'!$B$5*Tindata!D50+'Multi-Reg'!$B$6*Tindata!B50+'Multi-Reg'!$B$7*Tindata!C50</f>
        <v>28.170309999999983</v>
      </c>
    </row>
    <row r="51" spans="1:6" x14ac:dyDescent="0.25">
      <c r="A51">
        <v>1</v>
      </c>
      <c r="B51">
        <v>100</v>
      </c>
      <c r="C51">
        <v>25</v>
      </c>
      <c r="D51">
        <v>10</v>
      </c>
      <c r="E51" s="10">
        <v>34.574667526128671</v>
      </c>
      <c r="F51">
        <f>'Multi-Reg'!$B$3+'Multi-Reg'!$B$4*Tindata!A51+'Multi-Reg'!$B$5*Tindata!D51+'Multi-Reg'!$B$6*Tindata!B51+'Multi-Reg'!$B$7*Tindata!C51</f>
        <v>21.487669999999984</v>
      </c>
    </row>
    <row r="52" spans="1:6" x14ac:dyDescent="0.25">
      <c r="A52">
        <v>1</v>
      </c>
      <c r="B52">
        <v>100</v>
      </c>
      <c r="C52">
        <v>30</v>
      </c>
      <c r="D52">
        <v>10</v>
      </c>
      <c r="E52" s="10">
        <v>25.457699550286765</v>
      </c>
      <c r="F52">
        <f>'Multi-Reg'!$B$3+'Multi-Reg'!$B$4*Tindata!A52+'Multi-Reg'!$B$5*Tindata!D52+'Multi-Reg'!$B$6*Tindata!B52+'Multi-Reg'!$B$7*Tindata!C52</f>
        <v>17.311019999999985</v>
      </c>
    </row>
    <row r="53" spans="1:6" x14ac:dyDescent="0.25">
      <c r="A53">
        <v>1</v>
      </c>
      <c r="B53">
        <v>100</v>
      </c>
      <c r="C53">
        <v>17</v>
      </c>
      <c r="D53">
        <v>15</v>
      </c>
      <c r="E53" s="10">
        <v>16.063875041674077</v>
      </c>
      <c r="F53">
        <f>'Multi-Reg'!$B$3+'Multi-Reg'!$B$4*Tindata!A53+'Multi-Reg'!$B$5*Tindata!D53+'Multi-Reg'!$B$6*Tindata!B53+'Multi-Reg'!$B$7*Tindata!C53</f>
        <v>27.249209999999987</v>
      </c>
    </row>
    <row r="54" spans="1:6" x14ac:dyDescent="0.25">
      <c r="A54">
        <v>1</v>
      </c>
      <c r="B54">
        <v>100</v>
      </c>
      <c r="C54">
        <v>25</v>
      </c>
      <c r="D54">
        <v>15</v>
      </c>
      <c r="E54" s="10">
        <v>17.29611786501318</v>
      </c>
      <c r="F54">
        <f>'Multi-Reg'!$B$3+'Multi-Reg'!$B$4*Tindata!A54+'Multi-Reg'!$B$5*Tindata!D54+'Multi-Reg'!$B$6*Tindata!B54+'Multi-Reg'!$B$7*Tindata!C54</f>
        <v>20.566569999999988</v>
      </c>
    </row>
    <row r="55" spans="1:6" x14ac:dyDescent="0.25">
      <c r="A55">
        <v>1</v>
      </c>
      <c r="B55">
        <v>100</v>
      </c>
      <c r="C55">
        <v>30</v>
      </c>
      <c r="D55">
        <v>15</v>
      </c>
      <c r="E55" s="10">
        <v>11.084721057439532</v>
      </c>
      <c r="F55">
        <f>'Multi-Reg'!$B$3+'Multi-Reg'!$B$4*Tindata!A55+'Multi-Reg'!$B$5*Tindata!D55+'Multi-Reg'!$B$6*Tindata!B55+'Multi-Reg'!$B$7*Tindata!C55</f>
        <v>16.389919999999989</v>
      </c>
    </row>
    <row r="56" spans="1:6" x14ac:dyDescent="0.25">
      <c r="A56">
        <v>1</v>
      </c>
      <c r="B56">
        <v>100</v>
      </c>
      <c r="C56">
        <v>17</v>
      </c>
      <c r="D56">
        <v>25</v>
      </c>
      <c r="E56" s="10">
        <v>25.485997066253489</v>
      </c>
      <c r="F56">
        <f>'Multi-Reg'!$B$3+'Multi-Reg'!$B$4*Tindata!A56+'Multi-Reg'!$B$5*Tindata!D56+'Multi-Reg'!$B$6*Tindata!B56+'Multi-Reg'!$B$7*Tindata!C56</f>
        <v>25.407009999999982</v>
      </c>
    </row>
    <row r="57" spans="1:6" x14ac:dyDescent="0.25">
      <c r="A57">
        <v>1</v>
      </c>
      <c r="B57">
        <v>100</v>
      </c>
      <c r="C57">
        <v>25</v>
      </c>
      <c r="D57">
        <v>25</v>
      </c>
      <c r="E57" s="10">
        <v>16.716251207894082</v>
      </c>
      <c r="F57">
        <f>'Multi-Reg'!$B$3+'Multi-Reg'!$B$4*Tindata!A57+'Multi-Reg'!$B$5*Tindata!D57+'Multi-Reg'!$B$6*Tindata!B57+'Multi-Reg'!$B$7*Tindata!C57</f>
        <v>18.724369999999983</v>
      </c>
    </row>
    <row r="58" spans="1:6" x14ac:dyDescent="0.25">
      <c r="A58">
        <v>1</v>
      </c>
      <c r="B58">
        <v>100</v>
      </c>
      <c r="C58">
        <v>30</v>
      </c>
      <c r="D58">
        <v>25</v>
      </c>
      <c r="E58" s="10">
        <v>12.819963797666203</v>
      </c>
      <c r="F58">
        <f>'Multi-Reg'!$B$3+'Multi-Reg'!$B$4*Tindata!A58+'Multi-Reg'!$B$5*Tindata!D58+'Multi-Reg'!$B$6*Tindata!B58+'Multi-Reg'!$B$7*Tindata!C58</f>
        <v>14.547719999999984</v>
      </c>
    </row>
    <row r="59" spans="1:6" x14ac:dyDescent="0.25">
      <c r="A59">
        <v>1</v>
      </c>
      <c r="B59">
        <v>100</v>
      </c>
      <c r="C59">
        <v>17</v>
      </c>
      <c r="D59">
        <v>50</v>
      </c>
      <c r="E59" s="10">
        <v>13.380571005082963</v>
      </c>
      <c r="F59">
        <f>'Multi-Reg'!$B$3+'Multi-Reg'!$B$4*Tindata!A59+'Multi-Reg'!$B$5*Tindata!D59+'Multi-Reg'!$B$6*Tindata!B59+'Multi-Reg'!$B$7*Tindata!C59</f>
        <v>20.80150999999999</v>
      </c>
    </row>
    <row r="60" spans="1:6" x14ac:dyDescent="0.25">
      <c r="A60">
        <v>1</v>
      </c>
      <c r="B60">
        <v>100</v>
      </c>
      <c r="C60">
        <v>25</v>
      </c>
      <c r="D60">
        <v>50</v>
      </c>
      <c r="E60" s="10">
        <v>17.142857142857142</v>
      </c>
      <c r="F60">
        <f>'Multi-Reg'!$B$3+'Multi-Reg'!$B$4*Tindata!A60+'Multi-Reg'!$B$5*Tindata!D60+'Multi-Reg'!$B$6*Tindata!B60+'Multi-Reg'!$B$7*Tindata!C60</f>
        <v>14.11886999999999</v>
      </c>
    </row>
    <row r="61" spans="1:6" x14ac:dyDescent="0.25">
      <c r="A61">
        <v>1</v>
      </c>
      <c r="B61">
        <v>100</v>
      </c>
      <c r="C61">
        <v>30</v>
      </c>
      <c r="D61">
        <v>50</v>
      </c>
      <c r="E61" s="10">
        <v>10.210424563901572</v>
      </c>
      <c r="F61">
        <f>'Multi-Reg'!$B$3+'Multi-Reg'!$B$4*Tindata!A61+'Multi-Reg'!$B$5*Tindata!D61+'Multi-Reg'!$B$6*Tindata!B61+'Multi-Reg'!$B$7*Tindata!C61</f>
        <v>9.9422199999999918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A12" sqref="A12"/>
    </sheetView>
  </sheetViews>
  <sheetFormatPr defaultRowHeight="15" x14ac:dyDescent="0.25"/>
  <sheetData>
    <row r="1" spans="1:2" x14ac:dyDescent="0.25">
      <c r="A1">
        <v>44.033874709478702</v>
      </c>
      <c r="B1">
        <v>44.076114920000002</v>
      </c>
    </row>
    <row r="2" spans="1:2" x14ac:dyDescent="0.25">
      <c r="A2">
        <v>36.016398892758801</v>
      </c>
      <c r="B2">
        <v>27.55398761</v>
      </c>
    </row>
    <row r="3" spans="1:2" x14ac:dyDescent="0.25">
      <c r="A3">
        <v>31.7962704035493</v>
      </c>
      <c r="B3">
        <v>39.102058130000003</v>
      </c>
    </row>
    <row r="4" spans="1:2" x14ac:dyDescent="0.25">
      <c r="A4">
        <v>36.071793211129098</v>
      </c>
      <c r="B4">
        <v>38.907942429999999</v>
      </c>
    </row>
    <row r="5" spans="1:2" x14ac:dyDescent="0.25">
      <c r="A5">
        <v>29.615572375220001</v>
      </c>
      <c r="B5">
        <v>36.733598749999999</v>
      </c>
    </row>
    <row r="6" spans="1:2" x14ac:dyDescent="0.25">
      <c r="A6">
        <v>26.411353429446699</v>
      </c>
      <c r="B6">
        <v>17.570716619999999</v>
      </c>
    </row>
    <row r="7" spans="1:2" x14ac:dyDescent="0.25">
      <c r="A7">
        <v>29.2340381160375</v>
      </c>
      <c r="B7">
        <v>28.94875892</v>
      </c>
    </row>
    <row r="8" spans="1:2" x14ac:dyDescent="0.25">
      <c r="A8">
        <v>24.809312963003901</v>
      </c>
      <c r="B8">
        <v>26.46805642</v>
      </c>
    </row>
    <row r="9" spans="1:2" x14ac:dyDescent="0.25">
      <c r="A9">
        <v>22.5271661959166</v>
      </c>
      <c r="B9">
        <v>20.623108009999999</v>
      </c>
    </row>
    <row r="10" spans="1:2" x14ac:dyDescent="0.25">
      <c r="A10">
        <v>29.432169550139999</v>
      </c>
      <c r="B10">
        <v>29.58376148</v>
      </c>
    </row>
    <row r="11" spans="1:2" x14ac:dyDescent="0.25">
      <c r="A11">
        <v>18.261396149438699</v>
      </c>
      <c r="B11">
        <v>20.494604160000002</v>
      </c>
    </row>
    <row r="12" spans="1:2" x14ac:dyDescent="0.25">
      <c r="A12">
        <v>18.027674578747501</v>
      </c>
      <c r="B12">
        <v>22.149807840000001</v>
      </c>
    </row>
    <row r="13" spans="1:2" x14ac:dyDescent="0.25">
      <c r="A13">
        <v>52.102577276304999</v>
      </c>
      <c r="B13">
        <v>30.151636499999999</v>
      </c>
    </row>
    <row r="14" spans="1:2" x14ac:dyDescent="0.25">
      <c r="A14">
        <v>41.916319859085398</v>
      </c>
      <c r="B14">
        <v>22.38900069</v>
      </c>
    </row>
    <row r="15" spans="1:2" x14ac:dyDescent="0.25">
      <c r="A15">
        <v>15.0161303422485</v>
      </c>
      <c r="B15">
        <v>15.440641960000001</v>
      </c>
    </row>
    <row r="16" spans="1:2" x14ac:dyDescent="0.25">
      <c r="A16">
        <v>28.123659760066602</v>
      </c>
      <c r="B16">
        <v>29.863113930000001</v>
      </c>
    </row>
    <row r="17" spans="1:2" x14ac:dyDescent="0.25">
      <c r="A17">
        <v>22.272414700382299</v>
      </c>
      <c r="B17">
        <v>21.767543629999999</v>
      </c>
    </row>
    <row r="18" spans="1:2" x14ac:dyDescent="0.25">
      <c r="A18">
        <v>10.6000356507622</v>
      </c>
      <c r="B18">
        <v>11.00083347</v>
      </c>
    </row>
    <row r="19" spans="1:2" x14ac:dyDescent="0.25">
      <c r="A19">
        <v>26.875539918455299</v>
      </c>
      <c r="B19">
        <v>24.906970940000001</v>
      </c>
    </row>
    <row r="20" spans="1:2" x14ac:dyDescent="0.25">
      <c r="A20">
        <v>21.111067193205098</v>
      </c>
      <c r="B20">
        <v>18.953398079999999</v>
      </c>
    </row>
    <row r="21" spans="1:2" x14ac:dyDescent="0.25">
      <c r="A21">
        <v>10.0523044633713</v>
      </c>
      <c r="B21">
        <v>9.6519281869999993</v>
      </c>
    </row>
    <row r="22" spans="1:2" x14ac:dyDescent="0.25">
      <c r="A22">
        <v>25.210527439134299</v>
      </c>
      <c r="B22">
        <v>25.012558070000001</v>
      </c>
    </row>
    <row r="23" spans="1:2" x14ac:dyDescent="0.25">
      <c r="A23">
        <v>19.7762649586879</v>
      </c>
      <c r="B23">
        <v>19.551927020000001</v>
      </c>
    </row>
    <row r="24" spans="1:2" x14ac:dyDescent="0.25">
      <c r="A24">
        <v>9.4794997845469702</v>
      </c>
      <c r="B24">
        <v>8.6406432720000002</v>
      </c>
    </row>
    <row r="25" spans="1:2" x14ac:dyDescent="0.25">
      <c r="A25">
        <v>24.473213807376201</v>
      </c>
      <c r="B25">
        <v>24.533665299999999</v>
      </c>
    </row>
    <row r="26" spans="1:2" x14ac:dyDescent="0.25">
      <c r="A26">
        <v>15.5860287913605</v>
      </c>
      <c r="B26">
        <v>15.94918713</v>
      </c>
    </row>
    <row r="27" spans="1:2" x14ac:dyDescent="0.25">
      <c r="A27">
        <v>7.6010385348163299</v>
      </c>
      <c r="B27">
        <v>8.1174104069999995</v>
      </c>
    </row>
    <row r="28" spans="1:2" x14ac:dyDescent="0.25">
      <c r="A28">
        <v>32.769059515515799</v>
      </c>
      <c r="B28">
        <v>25.956495010000001</v>
      </c>
    </row>
    <row r="29" spans="1:2" x14ac:dyDescent="0.25">
      <c r="A29">
        <v>17.1953723890323</v>
      </c>
      <c r="B29">
        <v>17.7898292</v>
      </c>
    </row>
    <row r="30" spans="1:2" x14ac:dyDescent="0.25">
      <c r="A30">
        <v>-2.6296970524086301</v>
      </c>
      <c r="B30">
        <v>7.6481026219999997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9"/>
  <sheetViews>
    <sheetView topLeftCell="A25" workbookViewId="0">
      <selection activeCell="S30" sqref="S30"/>
    </sheetView>
  </sheetViews>
  <sheetFormatPr defaultRowHeight="15" x14ac:dyDescent="0.25"/>
  <cols>
    <col min="9" max="9" width="10" bestFit="1" customWidth="1"/>
  </cols>
  <sheetData>
    <row r="1" spans="1:14" x14ac:dyDescent="0.25">
      <c r="A1" t="s">
        <v>23</v>
      </c>
      <c r="B1" t="s">
        <v>29</v>
      </c>
      <c r="C1" t="s">
        <v>28</v>
      </c>
      <c r="D1" t="s">
        <v>5</v>
      </c>
      <c r="E1" t="s">
        <v>27</v>
      </c>
      <c r="F1" t="s">
        <v>51</v>
      </c>
      <c r="I1" t="s">
        <v>30</v>
      </c>
      <c r="J1" t="s">
        <v>35</v>
      </c>
      <c r="K1" t="s">
        <v>54</v>
      </c>
      <c r="L1" t="s">
        <v>55</v>
      </c>
      <c r="M1" t="s">
        <v>52</v>
      </c>
      <c r="N1" t="s">
        <v>53</v>
      </c>
    </row>
    <row r="2" spans="1:14" x14ac:dyDescent="0.25">
      <c r="A2">
        <v>1</v>
      </c>
      <c r="B2">
        <v>100</v>
      </c>
      <c r="C2">
        <v>20.329999999999998</v>
      </c>
      <c r="D2">
        <v>6.67</v>
      </c>
      <c r="E2">
        <v>23.122686000000002</v>
      </c>
      <c r="F2">
        <f>96.34+1.68*A2-0.18*D2-0.54*B2-0.84*C2</f>
        <v>25.742200000000018</v>
      </c>
      <c r="I2" t="s">
        <v>31</v>
      </c>
      <c r="J2">
        <v>9</v>
      </c>
      <c r="K2">
        <v>12.438126</v>
      </c>
      <c r="L2">
        <v>11.373367999999999</v>
      </c>
      <c r="M2">
        <v>25.742200000000018</v>
      </c>
      <c r="N2">
        <v>22.382200000000005</v>
      </c>
    </row>
    <row r="3" spans="1:14" x14ac:dyDescent="0.25">
      <c r="A3">
        <v>-1</v>
      </c>
      <c r="B3">
        <v>100</v>
      </c>
      <c r="C3">
        <v>20.329999999999998</v>
      </c>
      <c r="D3">
        <v>6.67</v>
      </c>
      <c r="E3">
        <v>19.42379</v>
      </c>
      <c r="F3">
        <f t="shared" ref="F3:F9" si="0">96.34+1.68*A3-0.18*D3-0.54*B3-0.84*C3</f>
        <v>22.382200000000005</v>
      </c>
      <c r="I3" t="s">
        <v>32</v>
      </c>
      <c r="J3">
        <v>15</v>
      </c>
      <c r="K3">
        <v>11.628356999999999</v>
      </c>
      <c r="L3">
        <v>11.641386000000001</v>
      </c>
      <c r="M3">
        <v>27.268600000000013</v>
      </c>
      <c r="N3">
        <v>23.9086</v>
      </c>
    </row>
    <row r="4" spans="1:14" x14ac:dyDescent="0.25">
      <c r="A4">
        <v>1</v>
      </c>
      <c r="B4">
        <v>100</v>
      </c>
      <c r="C4">
        <v>19.61</v>
      </c>
      <c r="D4">
        <v>1.55</v>
      </c>
      <c r="E4">
        <v>24.388462000000001</v>
      </c>
      <c r="F4">
        <f t="shared" si="0"/>
        <v>27.268600000000013</v>
      </c>
      <c r="I4" t="s">
        <v>33</v>
      </c>
      <c r="J4">
        <v>16</v>
      </c>
      <c r="K4">
        <v>23.122686000000002</v>
      </c>
      <c r="L4">
        <v>19.42379</v>
      </c>
      <c r="M4">
        <v>4.2748000000000133</v>
      </c>
      <c r="N4">
        <v>0.91479999999999961</v>
      </c>
    </row>
    <row r="5" spans="1:14" x14ac:dyDescent="0.25">
      <c r="A5">
        <v>-1</v>
      </c>
      <c r="B5">
        <v>100</v>
      </c>
      <c r="C5">
        <v>19.61</v>
      </c>
      <c r="D5">
        <v>1.55</v>
      </c>
      <c r="E5">
        <v>20.769117000000001</v>
      </c>
      <c r="F5">
        <f t="shared" si="0"/>
        <v>23.9086</v>
      </c>
      <c r="I5" t="s">
        <v>34</v>
      </c>
      <c r="J5">
        <v>24</v>
      </c>
      <c r="K5">
        <v>24.388462000000001</v>
      </c>
      <c r="L5">
        <v>20.769117000000001</v>
      </c>
      <c r="M5">
        <v>-72.00439999999999</v>
      </c>
      <c r="N5">
        <v>-75.364400000000003</v>
      </c>
    </row>
    <row r="6" spans="1:14" x14ac:dyDescent="0.25">
      <c r="A6">
        <v>1</v>
      </c>
      <c r="B6">
        <v>100</v>
      </c>
      <c r="C6">
        <v>26.83</v>
      </c>
      <c r="D6">
        <v>95.6</v>
      </c>
      <c r="E6">
        <v>12.438126</v>
      </c>
      <c r="F6">
        <f>96.34+1.68*A6-0.18*D6-0.54*B6-0.84*C6</f>
        <v>4.2748000000000133</v>
      </c>
    </row>
    <row r="7" spans="1:14" x14ac:dyDescent="0.25">
      <c r="A7">
        <v>-1</v>
      </c>
      <c r="B7">
        <v>100</v>
      </c>
      <c r="C7">
        <v>26.83</v>
      </c>
      <c r="D7">
        <v>95.6</v>
      </c>
      <c r="E7">
        <v>11.373367999999999</v>
      </c>
      <c r="F7">
        <f t="shared" si="0"/>
        <v>0.91479999999999961</v>
      </c>
    </row>
    <row r="8" spans="1:14" x14ac:dyDescent="0.25">
      <c r="A8">
        <v>1</v>
      </c>
      <c r="B8">
        <v>89.3</v>
      </c>
      <c r="C8">
        <v>27.96</v>
      </c>
      <c r="D8">
        <v>546.20000000000005</v>
      </c>
      <c r="E8">
        <v>11.628356999999999</v>
      </c>
      <c r="F8">
        <f t="shared" si="0"/>
        <v>-72.00439999999999</v>
      </c>
    </row>
    <row r="9" spans="1:14" x14ac:dyDescent="0.25">
      <c r="A9">
        <v>-1</v>
      </c>
      <c r="B9">
        <v>89.3</v>
      </c>
      <c r="C9">
        <v>27.96</v>
      </c>
      <c r="D9">
        <v>546.20000000000005</v>
      </c>
      <c r="E9">
        <v>11.641386000000001</v>
      </c>
      <c r="F9">
        <f t="shared" si="0"/>
        <v>-75.364400000000003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5121" r:id="rId4">
          <objectPr defaultSize="0" autoPict="0" r:id="rId5">
            <anchor moveWithCells="1" sizeWithCells="1">
              <from>
                <xdr:col>12</xdr:col>
                <xdr:colOff>0</xdr:colOff>
                <xdr:row>26</xdr:row>
                <xdr:rowOff>0</xdr:rowOff>
              </from>
              <to>
                <xdr:col>18</xdr:col>
                <xdr:colOff>123825</xdr:colOff>
                <xdr:row>27</xdr:row>
                <xdr:rowOff>38100</xdr:rowOff>
              </to>
            </anchor>
          </objectPr>
        </oleObject>
      </mc:Choice>
      <mc:Fallback>
        <oleObject progId="Equation.DSMT4" shapeId="5121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13" sqref="A13"/>
    </sheetView>
  </sheetViews>
  <sheetFormatPr defaultRowHeight="15" x14ac:dyDescent="0.25"/>
  <cols>
    <col min="1" max="1" width="16.7109375" customWidth="1"/>
    <col min="2" max="2" width="12" customWidth="1"/>
    <col min="3" max="3" width="12.42578125" customWidth="1"/>
    <col min="4" max="4" width="10.28515625" customWidth="1"/>
    <col min="5" max="5" width="16.5703125" customWidth="1"/>
  </cols>
  <sheetData>
    <row r="1" spans="1:6" x14ac:dyDescent="0.25">
      <c r="A1" t="s">
        <v>36</v>
      </c>
    </row>
    <row r="2" spans="1:6" x14ac:dyDescent="0.25">
      <c r="B2" t="s">
        <v>43</v>
      </c>
      <c r="C2" t="s">
        <v>44</v>
      </c>
      <c r="D2" t="s">
        <v>45</v>
      </c>
      <c r="E2" t="s">
        <v>46</v>
      </c>
    </row>
    <row r="3" spans="1:6" x14ac:dyDescent="0.25">
      <c r="A3" t="s">
        <v>47</v>
      </c>
      <c r="B3">
        <v>96.337379999999996</v>
      </c>
      <c r="C3">
        <v>15.03248</v>
      </c>
      <c r="D3">
        <v>6.4089999999999998</v>
      </c>
      <c r="E3" s="5">
        <v>3.4900000000000001E-8</v>
      </c>
      <c r="F3" t="s">
        <v>8</v>
      </c>
    </row>
    <row r="4" spans="1:6" x14ac:dyDescent="0.25">
      <c r="A4" t="s">
        <v>23</v>
      </c>
      <c r="B4">
        <v>1.6827399999999999</v>
      </c>
      <c r="C4">
        <v>0.76729000000000003</v>
      </c>
      <c r="D4">
        <v>2.1930000000000001</v>
      </c>
      <c r="E4">
        <v>3.2548000000000001E-2</v>
      </c>
      <c r="F4" t="s">
        <v>48</v>
      </c>
    </row>
    <row r="5" spans="1:6" x14ac:dyDescent="0.25">
      <c r="A5" t="s">
        <v>5</v>
      </c>
      <c r="B5">
        <v>-0.18421999999999999</v>
      </c>
      <c r="C5">
        <v>4.8140000000000002E-2</v>
      </c>
      <c r="D5">
        <v>-3.827</v>
      </c>
      <c r="E5">
        <v>3.3399999999999999E-4</v>
      </c>
      <c r="F5" t="s">
        <v>8</v>
      </c>
    </row>
    <row r="6" spans="1:6" x14ac:dyDescent="0.25">
      <c r="A6" t="s">
        <v>7</v>
      </c>
      <c r="B6">
        <v>-0.53807000000000005</v>
      </c>
      <c r="C6">
        <v>0.15346000000000001</v>
      </c>
      <c r="D6">
        <v>-3.5059999999999998</v>
      </c>
      <c r="E6">
        <v>9.1299999999999997E-4</v>
      </c>
      <c r="F6" t="s">
        <v>8</v>
      </c>
    </row>
    <row r="7" spans="1:6" x14ac:dyDescent="0.25">
      <c r="A7" t="s">
        <v>9</v>
      </c>
      <c r="B7">
        <v>-0.83533000000000002</v>
      </c>
      <c r="C7">
        <v>0.14330999999999999</v>
      </c>
      <c r="D7">
        <v>-5.8289999999999997</v>
      </c>
      <c r="E7" s="5">
        <v>3.0400000000000002E-7</v>
      </c>
      <c r="F7" t="s">
        <v>8</v>
      </c>
    </row>
    <row r="8" spans="1:6" x14ac:dyDescent="0.25">
      <c r="A8" t="s">
        <v>37</v>
      </c>
    </row>
    <row r="9" spans="1:6" x14ac:dyDescent="0.25">
      <c r="A9" t="s">
        <v>38</v>
      </c>
    </row>
    <row r="11" spans="1:6" x14ac:dyDescent="0.25">
      <c r="A11" t="s">
        <v>39</v>
      </c>
    </row>
    <row r="12" spans="1:6" x14ac:dyDescent="0.25">
      <c r="A12" t="s">
        <v>40</v>
      </c>
    </row>
    <row r="13" spans="1:6" x14ac:dyDescent="0.25">
      <c r="A13" t="s">
        <v>41</v>
      </c>
    </row>
    <row r="14" spans="1:6" x14ac:dyDescent="0.25">
      <c r="A14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"/>
  <sheetViews>
    <sheetView workbookViewId="0">
      <selection activeCell="O31" sqref="O31"/>
    </sheetView>
  </sheetViews>
  <sheetFormatPr defaultRowHeight="15" x14ac:dyDescent="0.25"/>
  <sheetData>
    <row r="1" spans="1:25" x14ac:dyDescent="0.25">
      <c r="A1" s="7" t="s">
        <v>23</v>
      </c>
      <c r="B1" s="8" t="s">
        <v>5</v>
      </c>
      <c r="C1" s="8" t="s">
        <v>7</v>
      </c>
      <c r="D1" s="8" t="s">
        <v>9</v>
      </c>
      <c r="E1" s="9" t="s">
        <v>56</v>
      </c>
      <c r="O1" s="7" t="s">
        <v>23</v>
      </c>
      <c r="P1" s="8" t="s">
        <v>5</v>
      </c>
      <c r="Q1" s="8" t="s">
        <v>7</v>
      </c>
      <c r="R1" s="8" t="s">
        <v>9</v>
      </c>
      <c r="S1" s="9" t="s">
        <v>56</v>
      </c>
      <c r="U1" s="7" t="s">
        <v>23</v>
      </c>
      <c r="V1" s="8" t="s">
        <v>5</v>
      </c>
      <c r="W1" s="8" t="s">
        <v>7</v>
      </c>
      <c r="X1" s="8" t="s">
        <v>9</v>
      </c>
      <c r="Y1" s="9" t="s">
        <v>56</v>
      </c>
    </row>
    <row r="2" spans="1:25" x14ac:dyDescent="0.25">
      <c r="A2">
        <v>1</v>
      </c>
      <c r="B2">
        <v>0</v>
      </c>
      <c r="C2">
        <v>100</v>
      </c>
      <c r="D2">
        <v>25</v>
      </c>
      <c r="E2">
        <v>28.691487978197401</v>
      </c>
      <c r="O2">
        <v>1</v>
      </c>
      <c r="P2">
        <v>25</v>
      </c>
      <c r="Q2">
        <v>100</v>
      </c>
      <c r="R2">
        <v>0</v>
      </c>
      <c r="S2">
        <v>28.5829388194926</v>
      </c>
      <c r="U2">
        <v>1</v>
      </c>
      <c r="V2">
        <v>25</v>
      </c>
      <c r="W2">
        <v>90</v>
      </c>
      <c r="X2">
        <v>25</v>
      </c>
      <c r="Y2">
        <v>27.432008164480301</v>
      </c>
    </row>
    <row r="3" spans="1:25" x14ac:dyDescent="0.25">
      <c r="A3">
        <v>1</v>
      </c>
      <c r="B3">
        <v>1</v>
      </c>
      <c r="C3">
        <v>100</v>
      </c>
      <c r="D3">
        <v>25</v>
      </c>
      <c r="E3">
        <v>28.684235153896999</v>
      </c>
      <c r="O3">
        <v>1</v>
      </c>
      <c r="P3">
        <v>25</v>
      </c>
      <c r="Q3">
        <v>100</v>
      </c>
      <c r="R3">
        <v>1</v>
      </c>
      <c r="S3">
        <v>28.558639415879401</v>
      </c>
      <c r="U3">
        <v>1</v>
      </c>
      <c r="V3">
        <v>25</v>
      </c>
      <c r="W3">
        <v>90.5</v>
      </c>
      <c r="X3">
        <v>25</v>
      </c>
      <c r="Y3">
        <v>27.362490550258599</v>
      </c>
    </row>
    <row r="4" spans="1:25" x14ac:dyDescent="0.25">
      <c r="A4">
        <v>1</v>
      </c>
      <c r="B4">
        <v>2</v>
      </c>
      <c r="C4">
        <v>100</v>
      </c>
      <c r="D4">
        <v>25</v>
      </c>
      <c r="E4">
        <v>28.6721663084504</v>
      </c>
      <c r="O4">
        <v>1</v>
      </c>
      <c r="P4">
        <v>25</v>
      </c>
      <c r="Q4">
        <v>100</v>
      </c>
      <c r="R4">
        <v>2</v>
      </c>
      <c r="S4">
        <v>28.531149406481699</v>
      </c>
      <c r="U4">
        <v>1</v>
      </c>
      <c r="V4">
        <v>25</v>
      </c>
      <c r="W4">
        <v>91</v>
      </c>
      <c r="X4">
        <v>25</v>
      </c>
      <c r="Y4">
        <v>27.289677295537999</v>
      </c>
    </row>
    <row r="5" spans="1:25" x14ac:dyDescent="0.25">
      <c r="A5">
        <v>1</v>
      </c>
      <c r="B5">
        <v>3</v>
      </c>
      <c r="C5">
        <v>100</v>
      </c>
      <c r="D5">
        <v>25</v>
      </c>
      <c r="E5">
        <v>28.6564044115181</v>
      </c>
      <c r="O5">
        <v>1</v>
      </c>
      <c r="P5">
        <v>25</v>
      </c>
      <c r="Q5">
        <v>100</v>
      </c>
      <c r="R5">
        <v>3</v>
      </c>
      <c r="S5">
        <v>28.500062145504501</v>
      </c>
      <c r="U5">
        <v>1</v>
      </c>
      <c r="V5">
        <v>25</v>
      </c>
      <c r="W5">
        <v>91.5</v>
      </c>
      <c r="X5">
        <v>25</v>
      </c>
      <c r="Y5">
        <v>27.2134469364136</v>
      </c>
    </row>
    <row r="6" spans="1:25" x14ac:dyDescent="0.25">
      <c r="A6">
        <v>1</v>
      </c>
      <c r="B6">
        <v>4</v>
      </c>
      <c r="C6">
        <v>100</v>
      </c>
      <c r="D6">
        <v>25</v>
      </c>
      <c r="E6">
        <v>28.637154224368999</v>
      </c>
      <c r="O6">
        <v>1</v>
      </c>
      <c r="P6">
        <v>25</v>
      </c>
      <c r="Q6">
        <v>100</v>
      </c>
      <c r="R6">
        <v>4</v>
      </c>
      <c r="S6">
        <v>28.4649226216752</v>
      </c>
      <c r="U6">
        <v>1</v>
      </c>
      <c r="V6">
        <v>25</v>
      </c>
      <c r="W6">
        <v>92</v>
      </c>
      <c r="X6">
        <v>25</v>
      </c>
      <c r="Y6">
        <v>27.133677187147999</v>
      </c>
    </row>
    <row r="7" spans="1:25" x14ac:dyDescent="0.25">
      <c r="A7">
        <v>1</v>
      </c>
      <c r="B7">
        <v>5</v>
      </c>
      <c r="C7">
        <v>100</v>
      </c>
      <c r="D7">
        <v>25</v>
      </c>
      <c r="E7">
        <v>28.614169852068201</v>
      </c>
      <c r="O7">
        <v>1</v>
      </c>
      <c r="P7">
        <v>25</v>
      </c>
      <c r="Q7">
        <v>100</v>
      </c>
      <c r="R7">
        <v>5</v>
      </c>
      <c r="S7">
        <v>28.425222683446499</v>
      </c>
      <c r="U7">
        <v>1</v>
      </c>
      <c r="V7">
        <v>25</v>
      </c>
      <c r="W7">
        <v>92.5</v>
      </c>
      <c r="X7">
        <v>25</v>
      </c>
      <c r="Y7">
        <v>27.0502453782284</v>
      </c>
    </row>
    <row r="8" spans="1:25" x14ac:dyDescent="0.25">
      <c r="A8">
        <v>1</v>
      </c>
      <c r="B8">
        <v>6</v>
      </c>
      <c r="C8">
        <v>100</v>
      </c>
      <c r="D8">
        <v>25</v>
      </c>
      <c r="E8">
        <v>28.5869537475788</v>
      </c>
      <c r="O8">
        <v>1</v>
      </c>
      <c r="P8">
        <v>25</v>
      </c>
      <c r="Q8">
        <v>100</v>
      </c>
      <c r="R8">
        <v>6</v>
      </c>
      <c r="S8">
        <v>28.380396076491898</v>
      </c>
      <c r="U8">
        <v>1</v>
      </c>
      <c r="V8">
        <v>25</v>
      </c>
      <c r="W8">
        <v>93</v>
      </c>
      <c r="X8">
        <v>25</v>
      </c>
      <c r="Y8">
        <v>26.963028941066099</v>
      </c>
    </row>
    <row r="9" spans="1:25" x14ac:dyDescent="0.25">
      <c r="A9">
        <v>1</v>
      </c>
      <c r="B9">
        <v>7</v>
      </c>
      <c r="C9">
        <v>100</v>
      </c>
      <c r="D9">
        <v>25</v>
      </c>
      <c r="E9">
        <v>28.554834549977201</v>
      </c>
      <c r="O9">
        <v>1</v>
      </c>
      <c r="P9">
        <v>25</v>
      </c>
      <c r="Q9">
        <v>100</v>
      </c>
      <c r="R9">
        <v>7</v>
      </c>
      <c r="S9">
        <v>28.329813379881099</v>
      </c>
      <c r="U9">
        <v>1</v>
      </c>
      <c r="V9">
        <v>25</v>
      </c>
      <c r="W9">
        <v>93.5</v>
      </c>
      <c r="X9">
        <v>25</v>
      </c>
      <c r="Y9">
        <v>26.8719059420091</v>
      </c>
    </row>
    <row r="10" spans="1:25" x14ac:dyDescent="0.25">
      <c r="A10">
        <v>1</v>
      </c>
      <c r="B10">
        <v>8</v>
      </c>
      <c r="C10">
        <v>100</v>
      </c>
      <c r="D10">
        <v>25</v>
      </c>
      <c r="E10">
        <v>28.5169910288576</v>
      </c>
      <c r="O10">
        <v>1</v>
      </c>
      <c r="P10">
        <v>25</v>
      </c>
      <c r="Q10">
        <v>100</v>
      </c>
      <c r="R10">
        <v>8</v>
      </c>
      <c r="S10">
        <v>28.272776962989798</v>
      </c>
      <c r="U10">
        <v>1</v>
      </c>
      <c r="V10">
        <v>25</v>
      </c>
      <c r="W10">
        <v>94</v>
      </c>
      <c r="X10">
        <v>25</v>
      </c>
      <c r="Y10">
        <v>26.776755667606601</v>
      </c>
    </row>
    <row r="11" spans="1:25" x14ac:dyDescent="0.25">
      <c r="A11">
        <v>1</v>
      </c>
      <c r="B11">
        <v>9</v>
      </c>
      <c r="C11">
        <v>100</v>
      </c>
      <c r="D11">
        <v>25</v>
      </c>
      <c r="E11">
        <v>28.472451808338601</v>
      </c>
      <c r="O11">
        <v>1</v>
      </c>
      <c r="P11">
        <v>25</v>
      </c>
      <c r="Q11">
        <v>100</v>
      </c>
      <c r="R11">
        <v>9</v>
      </c>
      <c r="S11">
        <v>28.2085161293389</v>
      </c>
      <c r="U11">
        <v>1</v>
      </c>
      <c r="V11">
        <v>25</v>
      </c>
      <c r="W11">
        <v>94.5</v>
      </c>
      <c r="X11">
        <v>25</v>
      </c>
      <c r="Y11">
        <v>26.677459262403701</v>
      </c>
    </row>
    <row r="12" spans="1:25" x14ac:dyDescent="0.25">
      <c r="A12">
        <v>1</v>
      </c>
      <c r="B12">
        <v>10</v>
      </c>
      <c r="C12">
        <v>100</v>
      </c>
      <c r="D12">
        <v>25</v>
      </c>
      <c r="E12">
        <v>28.4200838767885</v>
      </c>
      <c r="O12">
        <v>1</v>
      </c>
      <c r="P12">
        <v>25</v>
      </c>
      <c r="Q12">
        <v>100</v>
      </c>
      <c r="R12">
        <v>10</v>
      </c>
      <c r="S12">
        <v>28.136182667178701</v>
      </c>
      <c r="U12">
        <v>1</v>
      </c>
      <c r="V12">
        <v>25</v>
      </c>
      <c r="W12">
        <v>95</v>
      </c>
      <c r="X12">
        <v>25</v>
      </c>
      <c r="Y12">
        <v>26.5739004199019</v>
      </c>
    </row>
    <row r="13" spans="1:25" x14ac:dyDescent="0.25">
      <c r="A13">
        <v>1</v>
      </c>
      <c r="B13">
        <v>11</v>
      </c>
      <c r="C13">
        <v>100</v>
      </c>
      <c r="D13">
        <v>25</v>
      </c>
      <c r="E13">
        <v>28.358575740842198</v>
      </c>
      <c r="O13">
        <v>1</v>
      </c>
      <c r="P13">
        <v>25</v>
      </c>
      <c r="Q13">
        <v>100</v>
      </c>
      <c r="R13">
        <v>11</v>
      </c>
      <c r="S13">
        <v>28.0548470904189</v>
      </c>
      <c r="U13">
        <v>1</v>
      </c>
      <c r="V13">
        <v>25</v>
      </c>
      <c r="W13">
        <v>95.5</v>
      </c>
      <c r="X13">
        <v>25</v>
      </c>
      <c r="Y13">
        <v>26.465966126634601</v>
      </c>
    </row>
    <row r="14" spans="1:25" x14ac:dyDescent="0.25">
      <c r="A14">
        <v>1</v>
      </c>
      <c r="B14">
        <v>12</v>
      </c>
      <c r="C14">
        <v>100</v>
      </c>
      <c r="D14">
        <v>25</v>
      </c>
      <c r="E14">
        <v>28.286418160051898</v>
      </c>
      <c r="O14">
        <v>1</v>
      </c>
      <c r="P14">
        <v>25</v>
      </c>
      <c r="Q14">
        <v>100</v>
      </c>
      <c r="R14">
        <v>12</v>
      </c>
      <c r="S14">
        <v>27.9634959276075</v>
      </c>
      <c r="U14">
        <v>1</v>
      </c>
      <c r="V14">
        <v>25</v>
      </c>
      <c r="W14">
        <v>96</v>
      </c>
      <c r="X14">
        <v>25</v>
      </c>
      <c r="Y14">
        <v>26.353547458564599</v>
      </c>
    </row>
    <row r="15" spans="1:25" x14ac:dyDescent="0.25">
      <c r="A15">
        <v>1</v>
      </c>
      <c r="B15">
        <v>13</v>
      </c>
      <c r="C15">
        <v>100</v>
      </c>
      <c r="D15">
        <v>25</v>
      </c>
      <c r="E15">
        <v>28.201884364681401</v>
      </c>
      <c r="O15">
        <v>1</v>
      </c>
      <c r="P15">
        <v>25</v>
      </c>
      <c r="Q15">
        <v>100</v>
      </c>
      <c r="R15">
        <v>13</v>
      </c>
      <c r="S15">
        <v>27.861030500309798</v>
      </c>
      <c r="U15">
        <v>1</v>
      </c>
      <c r="V15">
        <v>25</v>
      </c>
      <c r="W15">
        <v>96.5</v>
      </c>
      <c r="X15">
        <v>25</v>
      </c>
      <c r="Y15">
        <v>26.236540428185201</v>
      </c>
    </row>
    <row r="16" spans="1:25" x14ac:dyDescent="0.25">
      <c r="A16">
        <v>1</v>
      </c>
      <c r="B16">
        <v>14</v>
      </c>
      <c r="C16">
        <v>100</v>
      </c>
      <c r="D16">
        <v>25</v>
      </c>
      <c r="E16">
        <v>28.103011507240801</v>
      </c>
      <c r="O16">
        <v>1</v>
      </c>
      <c r="P16">
        <v>25</v>
      </c>
      <c r="Q16">
        <v>100</v>
      </c>
      <c r="R16">
        <v>14</v>
      </c>
      <c r="S16">
        <v>27.7462677232981</v>
      </c>
      <c r="U16">
        <v>1</v>
      </c>
      <c r="V16">
        <v>25</v>
      </c>
      <c r="W16">
        <v>97</v>
      </c>
      <c r="X16">
        <v>25</v>
      </c>
      <c r="Y16">
        <v>26.114846879803601</v>
      </c>
    </row>
    <row r="17" spans="1:25" x14ac:dyDescent="0.25">
      <c r="A17">
        <v>1</v>
      </c>
      <c r="B17">
        <v>15</v>
      </c>
      <c r="C17">
        <v>100</v>
      </c>
      <c r="D17">
        <v>25</v>
      </c>
      <c r="E17">
        <v>27.987585401247198</v>
      </c>
      <c r="O17">
        <v>1</v>
      </c>
      <c r="P17">
        <v>25</v>
      </c>
      <c r="Q17">
        <v>100</v>
      </c>
      <c r="R17">
        <v>15</v>
      </c>
      <c r="S17">
        <v>27.617943553362199</v>
      </c>
      <c r="U17">
        <v>1</v>
      </c>
      <c r="V17">
        <v>25</v>
      </c>
      <c r="W17">
        <v>97.5</v>
      </c>
      <c r="X17">
        <v>25</v>
      </c>
      <c r="Y17">
        <v>25.988375429492802</v>
      </c>
    </row>
    <row r="18" spans="1:25" x14ac:dyDescent="0.25">
      <c r="A18">
        <v>1</v>
      </c>
      <c r="B18">
        <v>16</v>
      </c>
      <c r="C18">
        <v>100</v>
      </c>
      <c r="D18">
        <v>25</v>
      </c>
      <c r="E18">
        <v>27.8531311745935</v>
      </c>
      <c r="O18">
        <v>1</v>
      </c>
      <c r="P18">
        <v>25</v>
      </c>
      <c r="Q18">
        <v>100</v>
      </c>
      <c r="R18">
        <v>16</v>
      </c>
      <c r="S18">
        <v>27.474719804604401</v>
      </c>
      <c r="U18">
        <v>1</v>
      </c>
      <c r="V18">
        <v>25</v>
      </c>
      <c r="W18">
        <v>98</v>
      </c>
      <c r="X18">
        <v>25</v>
      </c>
      <c r="Y18">
        <v>25.8570424451283</v>
      </c>
    </row>
    <row r="19" spans="1:25" x14ac:dyDescent="0.25">
      <c r="A19">
        <v>1</v>
      </c>
      <c r="B19">
        <v>17</v>
      </c>
      <c r="C19">
        <v>100</v>
      </c>
      <c r="D19">
        <v>25</v>
      </c>
      <c r="E19">
        <v>27.6969132170344</v>
      </c>
      <c r="O19">
        <v>1</v>
      </c>
      <c r="P19">
        <v>25</v>
      </c>
      <c r="Q19">
        <v>100</v>
      </c>
      <c r="R19">
        <v>17</v>
      </c>
      <c r="S19">
        <v>27.315195125808099</v>
      </c>
      <c r="U19">
        <v>1</v>
      </c>
      <c r="V19">
        <v>25</v>
      </c>
      <c r="W19">
        <v>98.5</v>
      </c>
      <c r="X19">
        <v>25</v>
      </c>
      <c r="Y19">
        <v>25.720773060781099</v>
      </c>
    </row>
    <row r="20" spans="1:25" x14ac:dyDescent="0.25">
      <c r="A20">
        <v>1</v>
      </c>
      <c r="B20">
        <v>18</v>
      </c>
      <c r="C20">
        <v>100</v>
      </c>
      <c r="D20">
        <v>25</v>
      </c>
      <c r="E20">
        <v>27.515948655107501</v>
      </c>
      <c r="O20">
        <v>1</v>
      </c>
      <c r="P20">
        <v>25</v>
      </c>
      <c r="Q20">
        <v>100</v>
      </c>
      <c r="R20">
        <v>18</v>
      </c>
      <c r="S20">
        <v>27.137920985963699</v>
      </c>
      <c r="U20">
        <v>1</v>
      </c>
      <c r="V20">
        <v>25</v>
      </c>
      <c r="W20">
        <v>99</v>
      </c>
      <c r="X20">
        <v>25</v>
      </c>
      <c r="Y20">
        <v>25.5795022185373</v>
      </c>
    </row>
    <row r="21" spans="1:25" x14ac:dyDescent="0.25">
      <c r="A21">
        <v>1</v>
      </c>
      <c r="B21">
        <v>19</v>
      </c>
      <c r="C21">
        <v>100</v>
      </c>
      <c r="D21">
        <v>25</v>
      </c>
      <c r="E21">
        <v>27.307039439553801</v>
      </c>
      <c r="O21">
        <v>1</v>
      </c>
      <c r="P21">
        <v>25</v>
      </c>
      <c r="Q21">
        <v>100</v>
      </c>
      <c r="R21">
        <v>19</v>
      </c>
      <c r="S21">
        <v>26.941423519074299</v>
      </c>
      <c r="U21">
        <v>1</v>
      </c>
      <c r="V21">
        <v>25</v>
      </c>
      <c r="W21">
        <v>99.5</v>
      </c>
      <c r="X21">
        <v>25</v>
      </c>
      <c r="Y21">
        <v>25.433175729567498</v>
      </c>
    </row>
    <row r="22" spans="1:25" x14ac:dyDescent="0.25">
      <c r="A22">
        <v>1</v>
      </c>
      <c r="B22">
        <v>20</v>
      </c>
      <c r="C22">
        <v>100</v>
      </c>
      <c r="D22">
        <v>25</v>
      </c>
      <c r="E22">
        <v>27.0668288182748</v>
      </c>
      <c r="O22">
        <v>1</v>
      </c>
      <c r="P22">
        <v>25</v>
      </c>
      <c r="Q22">
        <v>100</v>
      </c>
      <c r="R22">
        <v>20</v>
      </c>
      <c r="S22">
        <v>26.7242320165963</v>
      </c>
      <c r="U22">
        <v>1</v>
      </c>
      <c r="V22">
        <v>25</v>
      </c>
      <c r="W22">
        <v>100</v>
      </c>
      <c r="X22">
        <v>25</v>
      </c>
      <c r="Y22">
        <v>25.2817513450034</v>
      </c>
    </row>
    <row r="23" spans="1:25" x14ac:dyDescent="0.25">
      <c r="A23">
        <v>1</v>
      </c>
      <c r="B23">
        <v>21</v>
      </c>
      <c r="C23">
        <v>100</v>
      </c>
      <c r="D23">
        <v>25</v>
      </c>
      <c r="E23">
        <v>26.791888249994901</v>
      </c>
      <c r="O23">
        <v>1</v>
      </c>
      <c r="P23">
        <v>25</v>
      </c>
      <c r="Q23">
        <v>100</v>
      </c>
      <c r="R23">
        <v>21</v>
      </c>
      <c r="S23">
        <v>26.484914699750799</v>
      </c>
      <c r="U23">
        <v>-1</v>
      </c>
      <c r="V23">
        <v>25</v>
      </c>
      <c r="W23">
        <v>90</v>
      </c>
      <c r="X23">
        <v>25</v>
      </c>
      <c r="Y23">
        <v>28.623482296685399</v>
      </c>
    </row>
    <row r="24" spans="1:25" x14ac:dyDescent="0.25">
      <c r="A24">
        <v>1</v>
      </c>
      <c r="B24">
        <v>22</v>
      </c>
      <c r="C24">
        <v>100</v>
      </c>
      <c r="D24">
        <v>25</v>
      </c>
      <c r="E24">
        <v>26.478840358352802</v>
      </c>
      <c r="O24">
        <v>1</v>
      </c>
      <c r="P24">
        <v>25</v>
      </c>
      <c r="Q24">
        <v>100</v>
      </c>
      <c r="R24">
        <v>22</v>
      </c>
      <c r="S24">
        <v>26.222122128077601</v>
      </c>
      <c r="U24">
        <v>-1</v>
      </c>
      <c r="V24">
        <v>25</v>
      </c>
      <c r="W24">
        <v>90.5</v>
      </c>
      <c r="X24">
        <v>25</v>
      </c>
      <c r="Y24">
        <v>28.617217304876601</v>
      </c>
    </row>
    <row r="25" spans="1:25" x14ac:dyDescent="0.25">
      <c r="A25">
        <v>1</v>
      </c>
      <c r="B25">
        <v>23</v>
      </c>
      <c r="C25">
        <v>100</v>
      </c>
      <c r="D25">
        <v>25</v>
      </c>
      <c r="E25">
        <v>26.124521927862801</v>
      </c>
      <c r="O25">
        <v>1</v>
      </c>
      <c r="P25">
        <v>25</v>
      </c>
      <c r="Q25">
        <v>100</v>
      </c>
      <c r="R25">
        <v>23</v>
      </c>
      <c r="S25">
        <v>25.934638181567902</v>
      </c>
      <c r="U25">
        <v>-1</v>
      </c>
      <c r="V25">
        <v>25</v>
      </c>
      <c r="W25">
        <v>91</v>
      </c>
      <c r="X25">
        <v>25</v>
      </c>
      <c r="Y25">
        <v>28.609877482693999</v>
      </c>
    </row>
    <row r="26" spans="1:25" x14ac:dyDescent="0.25">
      <c r="A26">
        <v>1</v>
      </c>
      <c r="B26">
        <v>24</v>
      </c>
      <c r="C26">
        <v>100</v>
      </c>
      <c r="D26">
        <v>25</v>
      </c>
      <c r="E26">
        <v>25.726187782113801</v>
      </c>
      <c r="O26">
        <v>1</v>
      </c>
      <c r="P26">
        <v>25</v>
      </c>
      <c r="Q26">
        <v>100</v>
      </c>
      <c r="R26">
        <v>24</v>
      </c>
      <c r="S26">
        <v>25.621437976873398</v>
      </c>
      <c r="U26">
        <v>-1</v>
      </c>
      <c r="V26">
        <v>25</v>
      </c>
      <c r="W26">
        <v>91.5</v>
      </c>
      <c r="X26">
        <v>25</v>
      </c>
      <c r="Y26">
        <v>28.601710840587099</v>
      </c>
    </row>
    <row r="27" spans="1:25" x14ac:dyDescent="0.25">
      <c r="A27">
        <v>1</v>
      </c>
      <c r="B27">
        <v>25</v>
      </c>
      <c r="C27">
        <v>100</v>
      </c>
      <c r="D27">
        <v>25</v>
      </c>
      <c r="E27">
        <v>25.2817513450034</v>
      </c>
      <c r="O27">
        <v>1</v>
      </c>
      <c r="P27">
        <v>25</v>
      </c>
      <c r="Q27">
        <v>100</v>
      </c>
      <c r="R27">
        <v>25</v>
      </c>
      <c r="S27">
        <v>25.2817513450034</v>
      </c>
      <c r="V27">
        <v>25</v>
      </c>
      <c r="W27">
        <v>92</v>
      </c>
      <c r="X27">
        <v>25</v>
      </c>
      <c r="Y27">
        <v>28.592849488420701</v>
      </c>
    </row>
    <row r="28" spans="1:25" x14ac:dyDescent="0.25">
      <c r="A28">
        <v>1</v>
      </c>
      <c r="B28">
        <v>26</v>
      </c>
      <c r="C28">
        <v>100</v>
      </c>
      <c r="D28">
        <v>25</v>
      </c>
      <c r="E28">
        <v>24.790050740939499</v>
      </c>
      <c r="O28">
        <v>1</v>
      </c>
      <c r="P28">
        <v>25</v>
      </c>
      <c r="Q28">
        <v>100</v>
      </c>
      <c r="R28">
        <v>26</v>
      </c>
      <c r="S28">
        <v>24.915129634785099</v>
      </c>
      <c r="U28">
        <v>-1</v>
      </c>
      <c r="V28">
        <v>25</v>
      </c>
      <c r="W28">
        <v>92.5</v>
      </c>
      <c r="X28">
        <v>25</v>
      </c>
      <c r="Y28">
        <v>28.583357733278199</v>
      </c>
    </row>
    <row r="29" spans="1:25" x14ac:dyDescent="0.25">
      <c r="A29">
        <v>1</v>
      </c>
      <c r="B29">
        <v>27</v>
      </c>
      <c r="C29">
        <v>100</v>
      </c>
      <c r="D29">
        <v>25</v>
      </c>
      <c r="E29">
        <v>24.251120929222399</v>
      </c>
      <c r="O29">
        <v>1</v>
      </c>
      <c r="P29">
        <v>25</v>
      </c>
      <c r="Q29">
        <v>100</v>
      </c>
      <c r="R29">
        <v>27</v>
      </c>
      <c r="S29">
        <v>24.521512671763102</v>
      </c>
      <c r="U29">
        <v>-1</v>
      </c>
      <c r="V29">
        <v>25</v>
      </c>
      <c r="W29">
        <v>93</v>
      </c>
      <c r="X29">
        <v>25</v>
      </c>
      <c r="Y29">
        <v>28.573260106333599</v>
      </c>
    </row>
    <row r="30" spans="1:25" x14ac:dyDescent="0.25">
      <c r="A30">
        <v>1</v>
      </c>
      <c r="B30">
        <v>28</v>
      </c>
      <c r="C30">
        <v>100</v>
      </c>
      <c r="D30">
        <v>25</v>
      </c>
      <c r="E30">
        <v>23.6664437969308</v>
      </c>
      <c r="O30">
        <v>1</v>
      </c>
      <c r="P30">
        <v>25</v>
      </c>
      <c r="Q30">
        <v>100</v>
      </c>
      <c r="R30">
        <v>28</v>
      </c>
      <c r="S30">
        <v>24.1012917918592</v>
      </c>
      <c r="U30">
        <v>-1</v>
      </c>
      <c r="V30">
        <v>25</v>
      </c>
      <c r="W30">
        <v>93.5</v>
      </c>
      <c r="X30">
        <v>25</v>
      </c>
      <c r="Y30">
        <v>28.562557575847801</v>
      </c>
    </row>
    <row r="31" spans="1:25" x14ac:dyDescent="0.25">
      <c r="A31">
        <v>1</v>
      </c>
      <c r="B31">
        <v>29</v>
      </c>
      <c r="C31">
        <v>100</v>
      </c>
      <c r="D31">
        <v>25</v>
      </c>
      <c r="E31">
        <v>23.039141326647499</v>
      </c>
      <c r="O31">
        <v>1</v>
      </c>
      <c r="P31">
        <v>25</v>
      </c>
      <c r="Q31">
        <v>100</v>
      </c>
      <c r="R31">
        <v>29</v>
      </c>
      <c r="S31">
        <v>23.655364114357798</v>
      </c>
      <c r="U31">
        <v>-1</v>
      </c>
      <c r="V31">
        <v>25</v>
      </c>
      <c r="W31">
        <v>94</v>
      </c>
      <c r="X31">
        <v>25</v>
      </c>
      <c r="Y31">
        <v>28.5512368785195</v>
      </c>
    </row>
    <row r="32" spans="1:25" x14ac:dyDescent="0.25">
      <c r="A32">
        <v>1</v>
      </c>
      <c r="B32">
        <v>30</v>
      </c>
      <c r="C32">
        <v>100</v>
      </c>
      <c r="D32">
        <v>25</v>
      </c>
      <c r="E32">
        <v>22.374074408514399</v>
      </c>
      <c r="O32">
        <v>1</v>
      </c>
      <c r="P32">
        <v>25</v>
      </c>
      <c r="Q32">
        <v>100</v>
      </c>
      <c r="R32">
        <v>30</v>
      </c>
      <c r="S32">
        <v>23.185172775942601</v>
      </c>
      <c r="U32">
        <v>-1</v>
      </c>
      <c r="V32">
        <v>25</v>
      </c>
      <c r="W32">
        <v>94.5</v>
      </c>
      <c r="X32">
        <v>25</v>
      </c>
      <c r="Y32">
        <v>28.539275865516</v>
      </c>
    </row>
    <row r="33" spans="1:25" x14ac:dyDescent="0.25">
      <c r="A33">
        <v>1</v>
      </c>
      <c r="B33">
        <v>31</v>
      </c>
      <c r="C33">
        <v>100</v>
      </c>
      <c r="D33">
        <v>25</v>
      </c>
      <c r="E33">
        <v>21.6778139763525</v>
      </c>
      <c r="O33">
        <v>-1</v>
      </c>
      <c r="P33">
        <v>25</v>
      </c>
      <c r="Q33">
        <v>100</v>
      </c>
      <c r="R33">
        <v>0</v>
      </c>
      <c r="S33">
        <v>28.747683210174898</v>
      </c>
      <c r="U33">
        <v>-1</v>
      </c>
      <c r="V33">
        <v>25</v>
      </c>
      <c r="W33">
        <v>95</v>
      </c>
      <c r="X33">
        <v>25</v>
      </c>
      <c r="Y33">
        <v>28.5266465479326</v>
      </c>
    </row>
    <row r="34" spans="1:25" x14ac:dyDescent="0.25">
      <c r="A34">
        <v>1</v>
      </c>
      <c r="B34">
        <v>32</v>
      </c>
      <c r="C34">
        <v>100</v>
      </c>
      <c r="D34">
        <v>25</v>
      </c>
      <c r="E34">
        <v>20.958463263825301</v>
      </c>
      <c r="O34">
        <v>-1</v>
      </c>
      <c r="P34">
        <v>25</v>
      </c>
      <c r="Q34">
        <v>100</v>
      </c>
      <c r="R34">
        <v>1</v>
      </c>
      <c r="S34">
        <v>28.7452851493859</v>
      </c>
      <c r="U34">
        <v>-1</v>
      </c>
      <c r="V34">
        <v>25</v>
      </c>
      <c r="W34">
        <v>95.5</v>
      </c>
      <c r="X34">
        <v>25</v>
      </c>
      <c r="Y34">
        <v>28.513316816469299</v>
      </c>
    </row>
    <row r="35" spans="1:25" x14ac:dyDescent="0.25">
      <c r="A35">
        <v>1</v>
      </c>
      <c r="B35">
        <v>33</v>
      </c>
      <c r="C35">
        <v>100</v>
      </c>
      <c r="D35">
        <v>25</v>
      </c>
      <c r="E35">
        <v>20.225329440994699</v>
      </c>
      <c r="O35">
        <v>-1</v>
      </c>
      <c r="P35">
        <v>25</v>
      </c>
      <c r="Q35">
        <v>100</v>
      </c>
      <c r="R35">
        <v>2</v>
      </c>
      <c r="S35">
        <v>28.742564838809901</v>
      </c>
      <c r="U35">
        <v>-1</v>
      </c>
      <c r="V35">
        <v>25</v>
      </c>
      <c r="W35">
        <v>96</v>
      </c>
      <c r="X35">
        <v>25</v>
      </c>
      <c r="Y35">
        <v>28.499251397654099</v>
      </c>
    </row>
    <row r="36" spans="1:25" x14ac:dyDescent="0.25">
      <c r="A36">
        <v>1</v>
      </c>
      <c r="B36">
        <v>34</v>
      </c>
      <c r="C36">
        <v>100</v>
      </c>
      <c r="D36">
        <v>25</v>
      </c>
      <c r="E36">
        <v>19.488466552989799</v>
      </c>
      <c r="O36">
        <v>-1</v>
      </c>
      <c r="P36">
        <v>25</v>
      </c>
      <c r="Q36">
        <v>100</v>
      </c>
      <c r="R36">
        <v>3</v>
      </c>
      <c r="S36">
        <v>28.7394791232445</v>
      </c>
      <c r="U36">
        <v>-1</v>
      </c>
      <c r="V36">
        <v>25</v>
      </c>
      <c r="W36">
        <v>96.5</v>
      </c>
      <c r="X36">
        <v>25</v>
      </c>
      <c r="Y36">
        <v>28.484412370474502</v>
      </c>
    </row>
    <row r="37" spans="1:25" x14ac:dyDescent="0.25">
      <c r="A37">
        <v>1</v>
      </c>
      <c r="B37">
        <v>35</v>
      </c>
      <c r="C37">
        <v>100</v>
      </c>
      <c r="D37">
        <v>25</v>
      </c>
      <c r="E37">
        <v>18.758134333121401</v>
      </c>
      <c r="O37">
        <v>-1</v>
      </c>
      <c r="P37">
        <v>25</v>
      </c>
      <c r="Q37">
        <v>100</v>
      </c>
      <c r="R37">
        <v>4</v>
      </c>
      <c r="S37">
        <v>28.735979097230899</v>
      </c>
      <c r="U37">
        <v>-1</v>
      </c>
      <c r="V37">
        <v>25</v>
      </c>
      <c r="W37">
        <v>97</v>
      </c>
      <c r="X37">
        <v>25</v>
      </c>
      <c r="Y37">
        <v>28.4687594298045</v>
      </c>
    </row>
    <row r="38" spans="1:25" x14ac:dyDescent="0.25">
      <c r="A38">
        <v>1</v>
      </c>
      <c r="B38">
        <v>36</v>
      </c>
      <c r="C38">
        <v>100</v>
      </c>
      <c r="D38">
        <v>25</v>
      </c>
      <c r="E38">
        <v>18.044233290733001</v>
      </c>
      <c r="O38">
        <v>-1</v>
      </c>
      <c r="P38">
        <v>25</v>
      </c>
      <c r="Q38">
        <v>100</v>
      </c>
      <c r="R38">
        <v>5</v>
      </c>
      <c r="S38">
        <v>28.732009349957401</v>
      </c>
      <c r="U38">
        <v>-1</v>
      </c>
      <c r="V38">
        <v>25</v>
      </c>
      <c r="W38">
        <v>97.5</v>
      </c>
      <c r="X38">
        <v>25</v>
      </c>
      <c r="Y38">
        <v>28.452250003881399</v>
      </c>
    </row>
    <row r="39" spans="1:25" x14ac:dyDescent="0.25">
      <c r="A39">
        <v>1</v>
      </c>
      <c r="B39">
        <v>37</v>
      </c>
      <c r="C39">
        <v>100</v>
      </c>
      <c r="D39">
        <v>25</v>
      </c>
      <c r="E39">
        <v>17.3557810699077</v>
      </c>
      <c r="O39">
        <v>-1</v>
      </c>
      <c r="P39">
        <v>25</v>
      </c>
      <c r="Q39">
        <v>100</v>
      </c>
      <c r="R39">
        <v>6</v>
      </c>
      <c r="S39">
        <v>28.727507113625599</v>
      </c>
      <c r="U39">
        <v>-1</v>
      </c>
      <c r="V39">
        <v>25</v>
      </c>
      <c r="W39">
        <v>98</v>
      </c>
      <c r="X39">
        <v>25</v>
      </c>
      <c r="Y39">
        <v>28.434839287593199</v>
      </c>
    </row>
    <row r="40" spans="1:25" x14ac:dyDescent="0.25">
      <c r="A40">
        <v>1</v>
      </c>
      <c r="B40">
        <v>38</v>
      </c>
      <c r="C40">
        <v>100</v>
      </c>
      <c r="D40">
        <v>25</v>
      </c>
      <c r="E40">
        <v>16.700487112672899</v>
      </c>
      <c r="O40">
        <v>-1</v>
      </c>
      <c r="P40">
        <v>25</v>
      </c>
      <c r="Q40">
        <v>100</v>
      </c>
      <c r="R40">
        <v>7</v>
      </c>
      <c r="S40">
        <v>28.722401303810301</v>
      </c>
      <c r="U40">
        <v>-1</v>
      </c>
      <c r="V40">
        <v>25</v>
      </c>
      <c r="W40">
        <v>98.5</v>
      </c>
      <c r="X40">
        <v>25</v>
      </c>
      <c r="Y40">
        <v>28.416480227204801</v>
      </c>
    </row>
    <row r="41" spans="1:25" x14ac:dyDescent="0.25">
      <c r="A41">
        <v>1</v>
      </c>
      <c r="B41">
        <v>39</v>
      </c>
      <c r="C41">
        <v>100</v>
      </c>
      <c r="D41">
        <v>25</v>
      </c>
      <c r="E41">
        <v>16.0844644225159</v>
      </c>
      <c r="O41">
        <v>-1</v>
      </c>
      <c r="P41">
        <v>25</v>
      </c>
      <c r="Q41">
        <v>100</v>
      </c>
      <c r="R41">
        <v>8</v>
      </c>
      <c r="S41">
        <v>28.7166114392212</v>
      </c>
      <c r="U41">
        <v>-1</v>
      </c>
      <c r="V41">
        <v>25</v>
      </c>
      <c r="W41">
        <v>99</v>
      </c>
      <c r="X41">
        <v>25</v>
      </c>
      <c r="Y41">
        <v>28.397123477153499</v>
      </c>
    </row>
    <row r="42" spans="1:25" x14ac:dyDescent="0.25">
      <c r="A42">
        <v>1</v>
      </c>
      <c r="B42">
        <v>40</v>
      </c>
      <c r="C42">
        <v>100</v>
      </c>
      <c r="D42">
        <v>25</v>
      </c>
      <c r="E42">
        <v>15.5120937020911</v>
      </c>
      <c r="O42">
        <v>-1</v>
      </c>
      <c r="P42">
        <v>25</v>
      </c>
      <c r="Q42">
        <v>100</v>
      </c>
      <c r="R42">
        <v>9</v>
      </c>
      <c r="S42">
        <v>28.710046427106899</v>
      </c>
      <c r="U42">
        <v>-1</v>
      </c>
      <c r="V42">
        <v>25</v>
      </c>
      <c r="W42">
        <v>99.5</v>
      </c>
      <c r="X42">
        <v>25</v>
      </c>
      <c r="Y42">
        <v>28.376717340948002</v>
      </c>
    </row>
    <row r="43" spans="1:25" x14ac:dyDescent="0.25">
      <c r="A43">
        <v>1</v>
      </c>
      <c r="B43">
        <v>41</v>
      </c>
      <c r="C43">
        <v>100</v>
      </c>
      <c r="D43">
        <v>25</v>
      </c>
      <c r="E43">
        <v>14.986032166531199</v>
      </c>
      <c r="O43">
        <v>-1</v>
      </c>
      <c r="P43">
        <v>25</v>
      </c>
      <c r="Q43">
        <v>100</v>
      </c>
      <c r="R43">
        <v>10</v>
      </c>
      <c r="S43">
        <v>28.702603199377801</v>
      </c>
      <c r="U43">
        <v>-1</v>
      </c>
      <c r="V43">
        <v>25</v>
      </c>
      <c r="W43">
        <v>100</v>
      </c>
      <c r="X43">
        <v>25</v>
      </c>
      <c r="Y43">
        <v>28.355207703298799</v>
      </c>
    </row>
    <row r="44" spans="1:25" x14ac:dyDescent="0.25">
      <c r="A44">
        <v>1</v>
      </c>
      <c r="B44">
        <v>42</v>
      </c>
      <c r="C44">
        <v>100</v>
      </c>
      <c r="D44">
        <v>25</v>
      </c>
      <c r="E44">
        <v>14.5073416543795</v>
      </c>
      <c r="O44">
        <v>-1</v>
      </c>
      <c r="P44">
        <v>25</v>
      </c>
      <c r="Q44">
        <v>100</v>
      </c>
      <c r="R44">
        <v>11</v>
      </c>
      <c r="S44">
        <v>28.6941651833869</v>
      </c>
    </row>
    <row r="45" spans="1:25" x14ac:dyDescent="0.25">
      <c r="A45">
        <v>1</v>
      </c>
      <c r="B45">
        <v>43</v>
      </c>
      <c r="C45">
        <v>100</v>
      </c>
      <c r="D45">
        <v>25</v>
      </c>
      <c r="E45">
        <v>14.0757007275527</v>
      </c>
      <c r="O45">
        <v>-1</v>
      </c>
      <c r="P45">
        <v>25</v>
      </c>
      <c r="Q45">
        <v>100</v>
      </c>
      <c r="R45">
        <v>12</v>
      </c>
      <c r="S45">
        <v>28.684600590255101</v>
      </c>
    </row>
    <row r="46" spans="1:25" x14ac:dyDescent="0.25">
      <c r="A46">
        <v>1</v>
      </c>
      <c r="B46">
        <v>44</v>
      </c>
      <c r="C46">
        <v>100</v>
      </c>
      <c r="D46">
        <v>25</v>
      </c>
      <c r="E46">
        <v>13.6896632794578</v>
      </c>
      <c r="O46">
        <v>-1</v>
      </c>
      <c r="P46">
        <v>25</v>
      </c>
      <c r="Q46">
        <v>100</v>
      </c>
      <c r="R46">
        <v>13</v>
      </c>
      <c r="S46">
        <v>28.673760502744699</v>
      </c>
    </row>
    <row r="47" spans="1:25" x14ac:dyDescent="0.25">
      <c r="A47">
        <v>1</v>
      </c>
      <c r="B47">
        <v>45</v>
      </c>
      <c r="C47">
        <v>100</v>
      </c>
      <c r="D47">
        <v>25</v>
      </c>
      <c r="E47">
        <v>13.3469299791055</v>
      </c>
      <c r="O47">
        <v>-1</v>
      </c>
      <c r="P47">
        <v>25</v>
      </c>
      <c r="Q47">
        <v>100</v>
      </c>
      <c r="R47">
        <v>14</v>
      </c>
      <c r="S47">
        <v>28.661476744047601</v>
      </c>
    </row>
    <row r="48" spans="1:25" x14ac:dyDescent="0.25">
      <c r="A48">
        <v>1</v>
      </c>
      <c r="B48">
        <v>46</v>
      </c>
      <c r="C48">
        <v>100</v>
      </c>
      <c r="D48">
        <v>25</v>
      </c>
      <c r="E48">
        <v>13.0446060858599</v>
      </c>
      <c r="O48">
        <v>-1</v>
      </c>
      <c r="P48">
        <v>25</v>
      </c>
      <c r="Q48">
        <v>100</v>
      </c>
      <c r="R48">
        <v>15</v>
      </c>
      <c r="S48">
        <v>28.647559508623299</v>
      </c>
    </row>
    <row r="49" spans="1:19" x14ac:dyDescent="0.25">
      <c r="A49">
        <v>1</v>
      </c>
      <c r="B49">
        <v>47</v>
      </c>
      <c r="C49">
        <v>100</v>
      </c>
      <c r="D49">
        <v>25</v>
      </c>
      <c r="E49">
        <v>12.779427228773301</v>
      </c>
      <c r="O49">
        <v>-1</v>
      </c>
      <c r="P49">
        <v>25</v>
      </c>
      <c r="Q49">
        <v>100</v>
      </c>
      <c r="R49">
        <v>16</v>
      </c>
      <c r="S49">
        <v>28.631794736542499</v>
      </c>
    </row>
    <row r="50" spans="1:19" x14ac:dyDescent="0.25">
      <c r="A50">
        <v>1</v>
      </c>
      <c r="B50">
        <v>48</v>
      </c>
      <c r="C50">
        <v>100</v>
      </c>
      <c r="D50">
        <v>25</v>
      </c>
      <c r="E50">
        <v>12.547941600559</v>
      </c>
      <c r="O50">
        <v>-1</v>
      </c>
      <c r="P50">
        <v>25</v>
      </c>
      <c r="Q50">
        <v>100</v>
      </c>
      <c r="R50">
        <v>17</v>
      </c>
      <c r="S50">
        <v>28.613941213901899</v>
      </c>
    </row>
    <row r="51" spans="1:19" x14ac:dyDescent="0.25">
      <c r="A51">
        <v>1</v>
      </c>
      <c r="B51">
        <v>49</v>
      </c>
      <c r="C51">
        <v>100</v>
      </c>
      <c r="D51">
        <v>25</v>
      </c>
      <c r="E51">
        <v>12.3466411210186</v>
      </c>
      <c r="O51">
        <v>-1</v>
      </c>
      <c r="P51">
        <v>25</v>
      </c>
      <c r="Q51">
        <v>100</v>
      </c>
      <c r="R51">
        <v>18</v>
      </c>
      <c r="S51">
        <v>28.593727384048702</v>
      </c>
    </row>
    <row r="52" spans="1:19" x14ac:dyDescent="0.25">
      <c r="A52">
        <v>1</v>
      </c>
      <c r="B52">
        <v>50</v>
      </c>
      <c r="C52">
        <v>100</v>
      </c>
      <c r="D52">
        <v>25</v>
      </c>
      <c r="E52">
        <v>12.1720340791349</v>
      </c>
      <c r="O52">
        <v>-1</v>
      </c>
      <c r="P52">
        <v>25</v>
      </c>
      <c r="Q52">
        <v>100</v>
      </c>
      <c r="R52">
        <v>19</v>
      </c>
      <c r="S52">
        <v>28.570847857943999</v>
      </c>
    </row>
    <row r="53" spans="1:19" x14ac:dyDescent="0.25">
      <c r="A53">
        <v>-1</v>
      </c>
      <c r="B53">
        <v>0</v>
      </c>
      <c r="C53">
        <v>100</v>
      </c>
      <c r="D53">
        <v>25</v>
      </c>
      <c r="E53">
        <v>27.7885469718324</v>
      </c>
      <c r="O53">
        <v>-1</v>
      </c>
      <c r="P53">
        <v>25</v>
      </c>
      <c r="Q53">
        <v>100</v>
      </c>
      <c r="R53">
        <v>20</v>
      </c>
      <c r="S53">
        <v>28.544959617441702</v>
      </c>
    </row>
    <row r="54" spans="1:19" x14ac:dyDescent="0.25">
      <c r="A54">
        <v>-1</v>
      </c>
      <c r="B54">
        <v>1</v>
      </c>
      <c r="C54">
        <v>100</v>
      </c>
      <c r="D54">
        <v>25</v>
      </c>
      <c r="E54">
        <v>27.8021271488265</v>
      </c>
      <c r="O54">
        <v>-1</v>
      </c>
      <c r="P54">
        <v>25</v>
      </c>
      <c r="Q54">
        <v>100</v>
      </c>
      <c r="R54">
        <v>21</v>
      </c>
      <c r="S54">
        <v>28.515677913104899</v>
      </c>
    </row>
    <row r="55" spans="1:19" x14ac:dyDescent="0.25">
      <c r="A55">
        <v>-1</v>
      </c>
      <c r="B55">
        <v>2</v>
      </c>
      <c r="C55">
        <v>100</v>
      </c>
      <c r="D55">
        <v>25</v>
      </c>
      <c r="E55">
        <v>27.833426145900599</v>
      </c>
      <c r="O55">
        <v>-1</v>
      </c>
      <c r="P55">
        <v>25</v>
      </c>
      <c r="Q55">
        <v>100</v>
      </c>
      <c r="R55">
        <v>22</v>
      </c>
      <c r="S55">
        <v>28.4825718690694</v>
      </c>
    </row>
    <row r="56" spans="1:19" x14ac:dyDescent="0.25">
      <c r="A56">
        <v>-1</v>
      </c>
      <c r="B56">
        <v>3</v>
      </c>
      <c r="C56">
        <v>100</v>
      </c>
      <c r="D56">
        <v>25</v>
      </c>
      <c r="E56">
        <v>27.899904644430599</v>
      </c>
      <c r="O56">
        <v>-1</v>
      </c>
      <c r="P56">
        <v>25</v>
      </c>
      <c r="Q56">
        <v>100</v>
      </c>
      <c r="R56">
        <v>23</v>
      </c>
      <c r="S56">
        <v>28.445159822168101</v>
      </c>
    </row>
    <row r="57" spans="1:19" x14ac:dyDescent="0.25">
      <c r="A57">
        <v>-1</v>
      </c>
      <c r="B57">
        <v>4</v>
      </c>
      <c r="C57">
        <v>100</v>
      </c>
      <c r="D57">
        <v>25</v>
      </c>
      <c r="E57">
        <v>28.023401090826901</v>
      </c>
      <c r="O57">
        <v>-1</v>
      </c>
      <c r="P57">
        <v>25</v>
      </c>
      <c r="Q57">
        <v>100</v>
      </c>
      <c r="R57">
        <v>24</v>
      </c>
      <c r="S57">
        <v>28.402904441943299</v>
      </c>
    </row>
    <row r="58" spans="1:19" x14ac:dyDescent="0.25">
      <c r="A58">
        <v>-1</v>
      </c>
      <c r="B58">
        <v>5</v>
      </c>
      <c r="C58">
        <v>100</v>
      </c>
      <c r="D58">
        <v>25</v>
      </c>
      <c r="E58">
        <v>28.2069761962128</v>
      </c>
      <c r="O58">
        <v>-1</v>
      </c>
      <c r="P58">
        <v>25</v>
      </c>
      <c r="Q58">
        <v>100</v>
      </c>
      <c r="R58">
        <v>25</v>
      </c>
      <c r="S58">
        <v>28.355207703298799</v>
      </c>
    </row>
    <row r="59" spans="1:19" x14ac:dyDescent="0.25">
      <c r="A59">
        <v>-1</v>
      </c>
      <c r="B59">
        <v>6</v>
      </c>
      <c r="C59">
        <v>100</v>
      </c>
      <c r="D59">
        <v>25</v>
      </c>
      <c r="E59">
        <v>28.406822179135599</v>
      </c>
      <c r="O59">
        <v>-1</v>
      </c>
      <c r="P59">
        <v>25</v>
      </c>
      <c r="Q59">
        <v>100</v>
      </c>
      <c r="R59">
        <v>26</v>
      </c>
      <c r="S59">
        <v>28.3014058154872</v>
      </c>
    </row>
    <row r="60" spans="1:19" x14ac:dyDescent="0.25">
      <c r="A60">
        <v>-1</v>
      </c>
      <c r="B60">
        <v>7</v>
      </c>
      <c r="C60">
        <v>100</v>
      </c>
      <c r="D60">
        <v>25</v>
      </c>
      <c r="E60">
        <v>28.562202356521301</v>
      </c>
      <c r="O60">
        <v>-1</v>
      </c>
      <c r="P60">
        <v>25</v>
      </c>
      <c r="Q60">
        <v>100</v>
      </c>
      <c r="R60">
        <v>27</v>
      </c>
      <c r="S60">
        <v>28.240764251001799</v>
      </c>
    </row>
    <row r="61" spans="1:19" x14ac:dyDescent="0.25">
      <c r="A61">
        <v>-1</v>
      </c>
      <c r="B61">
        <v>8</v>
      </c>
      <c r="C61">
        <v>100</v>
      </c>
      <c r="D61">
        <v>25</v>
      </c>
      <c r="E61">
        <v>28.653428089250401</v>
      </c>
      <c r="O61">
        <v>-1</v>
      </c>
      <c r="P61">
        <v>25</v>
      </c>
      <c r="Q61">
        <v>100</v>
      </c>
      <c r="R61">
        <v>28</v>
      </c>
      <c r="S61">
        <v>28.172473066841398</v>
      </c>
    </row>
    <row r="62" spans="1:19" x14ac:dyDescent="0.25">
      <c r="A62">
        <v>-1</v>
      </c>
      <c r="B62">
        <v>9</v>
      </c>
      <c r="C62">
        <v>100</v>
      </c>
      <c r="D62">
        <v>25</v>
      </c>
      <c r="E62">
        <v>28.6970534740883</v>
      </c>
      <c r="O62">
        <v>-1</v>
      </c>
      <c r="P62">
        <v>25</v>
      </c>
      <c r="Q62">
        <v>100</v>
      </c>
      <c r="R62">
        <v>29</v>
      </c>
      <c r="S62">
        <v>28.095642769388299</v>
      </c>
    </row>
    <row r="63" spans="1:19" x14ac:dyDescent="0.25">
      <c r="A63">
        <v>-1</v>
      </c>
      <c r="B63">
        <v>10</v>
      </c>
      <c r="C63">
        <v>100</v>
      </c>
      <c r="D63">
        <v>25</v>
      </c>
      <c r="E63">
        <v>28.714064022716599</v>
      </c>
      <c r="O63">
        <v>-1</v>
      </c>
      <c r="P63">
        <v>25</v>
      </c>
      <c r="Q63">
        <v>100</v>
      </c>
      <c r="R63">
        <v>30</v>
      </c>
      <c r="S63">
        <v>28.009301043248598</v>
      </c>
    </row>
    <row r="64" spans="1:19" x14ac:dyDescent="0.25">
      <c r="A64">
        <v>-1</v>
      </c>
      <c r="B64">
        <v>11</v>
      </c>
      <c r="C64">
        <v>100</v>
      </c>
      <c r="D64">
        <v>25</v>
      </c>
      <c r="E64">
        <v>28.717750836158299</v>
      </c>
    </row>
    <row r="65" spans="1:5" x14ac:dyDescent="0.25">
      <c r="A65">
        <v>-1</v>
      </c>
      <c r="B65">
        <v>12</v>
      </c>
      <c r="C65">
        <v>100</v>
      </c>
      <c r="D65">
        <v>25</v>
      </c>
      <c r="E65">
        <v>28.714741946444299</v>
      </c>
    </row>
    <row r="66" spans="1:5" x14ac:dyDescent="0.25">
      <c r="A66">
        <v>-1</v>
      </c>
      <c r="B66">
        <v>13</v>
      </c>
      <c r="C66">
        <v>100</v>
      </c>
      <c r="D66">
        <v>25</v>
      </c>
      <c r="E66">
        <v>28.707965958784701</v>
      </c>
    </row>
    <row r="67" spans="1:5" x14ac:dyDescent="0.25">
      <c r="A67">
        <v>-1</v>
      </c>
      <c r="B67">
        <v>14</v>
      </c>
      <c r="C67">
        <v>100</v>
      </c>
      <c r="D67">
        <v>25</v>
      </c>
      <c r="E67">
        <v>28.6985694210221</v>
      </c>
    </row>
    <row r="68" spans="1:5" x14ac:dyDescent="0.25">
      <c r="A68">
        <v>-1</v>
      </c>
      <c r="B68">
        <v>15</v>
      </c>
      <c r="C68">
        <v>100</v>
      </c>
      <c r="D68">
        <v>25</v>
      </c>
      <c r="E68">
        <v>28.686873908137802</v>
      </c>
    </row>
    <row r="69" spans="1:5" x14ac:dyDescent="0.25">
      <c r="A69">
        <v>-1</v>
      </c>
      <c r="B69">
        <v>16</v>
      </c>
      <c r="C69">
        <v>100</v>
      </c>
      <c r="D69">
        <v>25</v>
      </c>
      <c r="E69">
        <v>28.6728093218798</v>
      </c>
    </row>
    <row r="70" spans="1:5" x14ac:dyDescent="0.25">
      <c r="A70">
        <v>-1</v>
      </c>
      <c r="B70">
        <v>17</v>
      </c>
      <c r="C70">
        <v>100</v>
      </c>
      <c r="D70">
        <v>25</v>
      </c>
      <c r="E70">
        <v>28.6560997337196</v>
      </c>
    </row>
    <row r="71" spans="1:5" x14ac:dyDescent="0.25">
      <c r="A71">
        <v>-1</v>
      </c>
      <c r="B71">
        <v>18</v>
      </c>
      <c r="C71">
        <v>100</v>
      </c>
      <c r="D71">
        <v>25</v>
      </c>
      <c r="E71">
        <v>28.6363380748937</v>
      </c>
    </row>
    <row r="72" spans="1:5" x14ac:dyDescent="0.25">
      <c r="A72">
        <v>-1</v>
      </c>
      <c r="B72">
        <v>19</v>
      </c>
      <c r="C72">
        <v>100</v>
      </c>
      <c r="D72">
        <v>25</v>
      </c>
      <c r="E72">
        <v>28.613011489727199</v>
      </c>
    </row>
    <row r="73" spans="1:5" x14ac:dyDescent="0.25">
      <c r="A73">
        <v>-1</v>
      </c>
      <c r="B73">
        <v>20</v>
      </c>
      <c r="C73">
        <v>100</v>
      </c>
      <c r="D73">
        <v>25</v>
      </c>
      <c r="E73">
        <v>28.5855044531136</v>
      </c>
    </row>
    <row r="74" spans="1:5" x14ac:dyDescent="0.25">
      <c r="A74">
        <v>-1</v>
      </c>
      <c r="B74">
        <v>21</v>
      </c>
      <c r="C74">
        <v>100</v>
      </c>
      <c r="D74">
        <v>25</v>
      </c>
      <c r="E74">
        <v>28.553091358665402</v>
      </c>
    </row>
    <row r="75" spans="1:5" x14ac:dyDescent="0.25">
      <c r="A75">
        <v>-1</v>
      </c>
      <c r="B75">
        <v>22</v>
      </c>
      <c r="C75">
        <v>100</v>
      </c>
      <c r="D75">
        <v>25</v>
      </c>
      <c r="E75">
        <v>28.514923617476398</v>
      </c>
    </row>
    <row r="76" spans="1:5" x14ac:dyDescent="0.25">
      <c r="A76">
        <v>-1</v>
      </c>
      <c r="B76">
        <v>23</v>
      </c>
      <c r="C76">
        <v>100</v>
      </c>
      <c r="D76">
        <v>25</v>
      </c>
      <c r="E76">
        <v>28.470013485447499</v>
      </c>
    </row>
    <row r="77" spans="1:5" x14ac:dyDescent="0.25">
      <c r="A77">
        <v>-1</v>
      </c>
      <c r="B77">
        <v>24</v>
      </c>
      <c r="C77">
        <v>100</v>
      </c>
      <c r="D77">
        <v>25</v>
      </c>
      <c r="E77">
        <v>28.417215707517698</v>
      </c>
    </row>
    <row r="78" spans="1:5" x14ac:dyDescent="0.25">
      <c r="A78">
        <v>-1</v>
      </c>
      <c r="B78">
        <v>25</v>
      </c>
      <c r="C78">
        <v>100</v>
      </c>
      <c r="D78">
        <v>25</v>
      </c>
      <c r="E78">
        <v>28.355207703298799</v>
      </c>
    </row>
    <row r="79" spans="1:5" x14ac:dyDescent="0.25">
      <c r="A79">
        <v>-1</v>
      </c>
      <c r="B79">
        <v>26</v>
      </c>
      <c r="C79">
        <v>100</v>
      </c>
      <c r="D79">
        <v>25</v>
      </c>
      <c r="E79">
        <v>28.282469030875699</v>
      </c>
    </row>
    <row r="80" spans="1:5" x14ac:dyDescent="0.25">
      <c r="A80">
        <v>-1</v>
      </c>
      <c r="B80">
        <v>27</v>
      </c>
      <c r="C80">
        <v>100</v>
      </c>
      <c r="D80">
        <v>25</v>
      </c>
      <c r="E80">
        <v>28.197261097122599</v>
      </c>
    </row>
    <row r="81" spans="1:5" x14ac:dyDescent="0.25">
      <c r="A81">
        <v>-1</v>
      </c>
      <c r="B81">
        <v>28</v>
      </c>
      <c r="C81">
        <v>100</v>
      </c>
      <c r="D81">
        <v>25</v>
      </c>
      <c r="E81">
        <v>28.097608476438801</v>
      </c>
    </row>
    <row r="82" spans="1:5" x14ac:dyDescent="0.25">
      <c r="A82">
        <v>-1</v>
      </c>
      <c r="B82">
        <v>29</v>
      </c>
      <c r="C82">
        <v>100</v>
      </c>
      <c r="D82">
        <v>25</v>
      </c>
      <c r="E82">
        <v>27.981283736956598</v>
      </c>
    </row>
    <row r="83" spans="1:5" x14ac:dyDescent="0.25">
      <c r="A83">
        <v>-1</v>
      </c>
      <c r="B83">
        <v>30</v>
      </c>
      <c r="C83">
        <v>100</v>
      </c>
      <c r="D83">
        <v>25</v>
      </c>
      <c r="E83">
        <v>27.845798344013499</v>
      </c>
    </row>
    <row r="84" spans="1:5" x14ac:dyDescent="0.25">
      <c r="A84">
        <v>-1</v>
      </c>
      <c r="B84">
        <v>31</v>
      </c>
      <c r="C84">
        <v>100</v>
      </c>
      <c r="D84">
        <v>25</v>
      </c>
      <c r="E84">
        <v>27.6884029928604</v>
      </c>
    </row>
    <row r="85" spans="1:5" x14ac:dyDescent="0.25">
      <c r="A85">
        <v>-1</v>
      </c>
      <c r="B85">
        <v>32</v>
      </c>
      <c r="C85">
        <v>100</v>
      </c>
      <c r="D85">
        <v>25</v>
      </c>
      <c r="E85">
        <v>27.5061015626484</v>
      </c>
    </row>
    <row r="86" spans="1:5" x14ac:dyDescent="0.25">
      <c r="A86">
        <v>-1</v>
      </c>
      <c r="B86">
        <v>33</v>
      </c>
      <c r="C86">
        <v>100</v>
      </c>
      <c r="D86">
        <v>25</v>
      </c>
      <c r="E86">
        <v>27.295683674573901</v>
      </c>
    </row>
    <row r="87" spans="1:5" x14ac:dyDescent="0.25">
      <c r="A87">
        <v>-1</v>
      </c>
      <c r="B87">
        <v>34</v>
      </c>
      <c r="C87">
        <v>100</v>
      </c>
      <c r="D87">
        <v>25</v>
      </c>
      <c r="E87">
        <v>27.0537813916063</v>
      </c>
    </row>
    <row r="88" spans="1:5" x14ac:dyDescent="0.25">
      <c r="A88">
        <v>-1</v>
      </c>
      <c r="B88">
        <v>35</v>
      </c>
      <c r="C88">
        <v>100</v>
      </c>
      <c r="D88">
        <v>25</v>
      </c>
      <c r="E88">
        <v>26.776955619166699</v>
      </c>
    </row>
    <row r="89" spans="1:5" x14ac:dyDescent="0.25">
      <c r="A89">
        <v>-1</v>
      </c>
      <c r="B89">
        <v>36</v>
      </c>
      <c r="C89">
        <v>100</v>
      </c>
      <c r="D89">
        <v>25</v>
      </c>
      <c r="E89">
        <v>26.461816821253901</v>
      </c>
    </row>
    <row r="90" spans="1:5" x14ac:dyDescent="0.25">
      <c r="A90">
        <v>-1</v>
      </c>
      <c r="B90">
        <v>37</v>
      </c>
      <c r="C90">
        <v>100</v>
      </c>
      <c r="D90">
        <v>25</v>
      </c>
      <c r="E90">
        <v>26.1051821593162</v>
      </c>
    </row>
    <row r="91" spans="1:5" x14ac:dyDescent="0.25">
      <c r="A91">
        <v>-1</v>
      </c>
      <c r="B91">
        <v>38</v>
      </c>
      <c r="C91">
        <v>100</v>
      </c>
      <c r="D91">
        <v>25</v>
      </c>
      <c r="E91">
        <v>25.704266318078002</v>
      </c>
    </row>
    <row r="92" spans="1:5" x14ac:dyDescent="0.25">
      <c r="A92">
        <v>-1</v>
      </c>
      <c r="B92">
        <v>39</v>
      </c>
      <c r="C92">
        <v>100</v>
      </c>
      <c r="D92">
        <v>25</v>
      </c>
      <c r="E92">
        <v>25.256895129266798</v>
      </c>
    </row>
    <row r="93" spans="1:5" x14ac:dyDescent="0.25">
      <c r="A93">
        <v>-1</v>
      </c>
      <c r="B93">
        <v>40</v>
      </c>
      <c r="C93">
        <v>100</v>
      </c>
      <c r="D93">
        <v>25</v>
      </c>
      <c r="E93">
        <v>24.761718394601498</v>
      </c>
    </row>
    <row r="94" spans="1:5" x14ac:dyDescent="0.25">
      <c r="A94">
        <v>-1</v>
      </c>
      <c r="B94">
        <v>41</v>
      </c>
      <c r="C94">
        <v>100</v>
      </c>
      <c r="D94">
        <v>25</v>
      </c>
      <c r="E94">
        <v>24.218379323706301</v>
      </c>
    </row>
    <row r="95" spans="1:5" x14ac:dyDescent="0.25">
      <c r="A95">
        <v>-1</v>
      </c>
      <c r="B95">
        <v>42</v>
      </c>
      <c r="C95">
        <v>100</v>
      </c>
      <c r="D95">
        <v>25</v>
      </c>
      <c r="E95">
        <v>23.6275701497363</v>
      </c>
    </row>
    <row r="96" spans="1:5" x14ac:dyDescent="0.25">
      <c r="A96">
        <v>-1</v>
      </c>
      <c r="B96">
        <v>43</v>
      </c>
      <c r="C96">
        <v>100</v>
      </c>
      <c r="D96">
        <v>25</v>
      </c>
      <c r="E96">
        <v>22.990862999000399</v>
      </c>
    </row>
    <row r="97" spans="1:5" x14ac:dyDescent="0.25">
      <c r="A97">
        <v>-1</v>
      </c>
      <c r="B97">
        <v>44</v>
      </c>
      <c r="C97">
        <v>100</v>
      </c>
      <c r="D97">
        <v>25</v>
      </c>
      <c r="E97">
        <v>22.310148754437702</v>
      </c>
    </row>
    <row r="98" spans="1:5" x14ac:dyDescent="0.25">
      <c r="A98">
        <v>-1</v>
      </c>
      <c r="B98">
        <v>45</v>
      </c>
      <c r="C98">
        <v>100</v>
      </c>
      <c r="D98">
        <v>25</v>
      </c>
      <c r="E98">
        <v>21.586453194688701</v>
      </c>
    </row>
    <row r="99" spans="1:5" x14ac:dyDescent="0.25">
      <c r="A99">
        <v>-1</v>
      </c>
      <c r="B99">
        <v>46</v>
      </c>
      <c r="C99">
        <v>100</v>
      </c>
      <c r="D99">
        <v>25</v>
      </c>
      <c r="E99">
        <v>20.8178938531101</v>
      </c>
    </row>
    <row r="100" spans="1:5" x14ac:dyDescent="0.25">
      <c r="A100">
        <v>-1</v>
      </c>
      <c r="B100">
        <v>47</v>
      </c>
      <c r="C100">
        <v>100</v>
      </c>
      <c r="D100">
        <v>25</v>
      </c>
      <c r="E100">
        <v>19.9968354135883</v>
      </c>
    </row>
    <row r="101" spans="1:5" x14ac:dyDescent="0.25">
      <c r="A101">
        <v>-1</v>
      </c>
      <c r="B101">
        <v>48</v>
      </c>
      <c r="C101">
        <v>100</v>
      </c>
      <c r="D101">
        <v>25</v>
      </c>
      <c r="E101">
        <v>19.1074870490799</v>
      </c>
    </row>
    <row r="102" spans="1:5" x14ac:dyDescent="0.25">
      <c r="A102">
        <v>-1</v>
      </c>
      <c r="B102">
        <v>49</v>
      </c>
      <c r="C102">
        <v>100</v>
      </c>
      <c r="D102">
        <v>25</v>
      </c>
      <c r="E102">
        <v>18.127729650814299</v>
      </c>
    </row>
    <row r="103" spans="1:5" x14ac:dyDescent="0.25">
      <c r="A103">
        <v>-1</v>
      </c>
      <c r="B103">
        <v>50</v>
      </c>
      <c r="C103">
        <v>100</v>
      </c>
      <c r="D103">
        <v>25</v>
      </c>
      <c r="E103">
        <v>17.0398587102713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zoomScale="60" zoomScaleNormal="60" workbookViewId="0">
      <selection activeCell="AA16" sqref="AA16"/>
    </sheetView>
  </sheetViews>
  <sheetFormatPr defaultRowHeight="15" x14ac:dyDescent="0.25"/>
  <sheetData/>
  <pageMargins left="0.7" right="0.7" top="0.75" bottom="0.75" header="0.3" footer="0.3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Boxplots</vt:lpstr>
      <vt:lpstr>ANOVA</vt:lpstr>
      <vt:lpstr>Tree model</vt:lpstr>
      <vt:lpstr>Data</vt:lpstr>
      <vt:lpstr>Tindata</vt:lpstr>
      <vt:lpstr>Sheet1</vt:lpstr>
      <vt:lpstr>Field data validation</vt:lpstr>
      <vt:lpstr>Multi-Reg</vt:lpstr>
      <vt:lpstr>ANN sensitivity</vt:lpstr>
      <vt:lpstr>Sensitivity graph</vt:lpstr>
    </vt:vector>
  </TitlesOfParts>
  <Company>The University of Queensland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Guangming Jiang</dc:creator>
  <cp:lastModifiedBy>Guangming Jiang</cp:lastModifiedBy>
  <cp:lastPrinted>2015-11-10T00:01:47Z</cp:lastPrinted>
  <dcterms:created xsi:type="dcterms:W3CDTF">2014-08-15T04:19:17Z</dcterms:created>
  <dcterms:modified xsi:type="dcterms:W3CDTF">2015-11-10T00:24:59Z</dcterms:modified>
</cp:coreProperties>
</file>