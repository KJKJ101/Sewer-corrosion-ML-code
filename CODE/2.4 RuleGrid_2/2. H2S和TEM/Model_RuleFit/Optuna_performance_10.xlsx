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Rulefit_建模（基于myenv自建环境）\Model_RuleFit\"/>
    </mc:Choice>
  </mc:AlternateContent>
  <xr:revisionPtr revIDLastSave="0" documentId="13_ncr:1_{4FC20D12-1C34-4AE8-8E84-0827704296CB}" xr6:coauthVersionLast="47" xr6:coauthVersionMax="47" xr10:uidLastSave="{00000000-0000-0000-0000-000000000000}"/>
  <bookViews>
    <workbookView xWindow="10212" yWindow="1440" windowWidth="11052" windowHeight="1022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B13" i="1"/>
  <c r="B12" i="1"/>
</calcChain>
</file>

<file path=xl/sharedStrings.xml><?xml version="1.0" encoding="utf-8"?>
<sst xmlns="http://schemas.openxmlformats.org/spreadsheetml/2006/main" count="16" uniqueCount="16">
  <si>
    <t>RMSE_CV</t>
  </si>
  <si>
    <t>MAE_CV</t>
  </si>
  <si>
    <t>R2_CV</t>
  </si>
  <si>
    <t>Train RMSE</t>
  </si>
  <si>
    <t>Train MAE</t>
  </si>
  <si>
    <t>Train R2</t>
  </si>
  <si>
    <t>Test RMSE</t>
  </si>
  <si>
    <t>Test MAE</t>
  </si>
  <si>
    <t>Test R2</t>
  </si>
  <si>
    <t>Correlation_Coefficient_CV</t>
  </si>
  <si>
    <t>Train Correlation</t>
  </si>
  <si>
    <t>Test Correlation</t>
  </si>
  <si>
    <t>Overall RMSE</t>
  </si>
  <si>
    <t>Overall MAE</t>
  </si>
  <si>
    <t>Overall R2</t>
  </si>
  <si>
    <t>Overall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</si>
</sst>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J12" sqref="J12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0.46101165045345432</v>
      </c>
      <c r="C2">
        <v>0.38085160376574129</v>
      </c>
      <c r="D2">
        <v>0.45028117854981398</v>
      </c>
      <c r="E2">
        <v>0.3377661680381473</v>
      </c>
      <c r="F2">
        <v>0.24325740488418879</v>
      </c>
      <c r="G2">
        <v>0.82534091438416257</v>
      </c>
      <c r="H2">
        <v>0.4643901798099217</v>
      </c>
      <c r="I2">
        <v>0.36230517636152809</v>
      </c>
      <c r="J2">
        <v>0.7500032898779776</v>
      </c>
      <c r="K2">
        <v>0.76261377386640927</v>
      </c>
      <c r="L2">
        <v>0.91630394716440677</v>
      </c>
      <c r="M2">
        <v>0.87118257007836009</v>
      </c>
      <c r="N2">
        <v>0.367759256436404</v>
      </c>
      <c r="O2">
        <v>0.26805902394196779</v>
      </c>
      <c r="P2">
        <v>0.8092716269540533</v>
      </c>
      <c r="Q2">
        <v>0.90124192669624514</v>
      </c>
    </row>
    <row r="3" spans="1:17" x14ac:dyDescent="0.25">
      <c r="A3" s="1">
        <v>1</v>
      </c>
      <c r="B3">
        <v>0.51426224277760468</v>
      </c>
      <c r="C3">
        <v>0.41548412393238582</v>
      </c>
      <c r="D3">
        <v>0.5181462445957683</v>
      </c>
      <c r="E3">
        <v>0.30504598123111021</v>
      </c>
      <c r="F3">
        <v>0.22874377384474531</v>
      </c>
      <c r="G3">
        <v>0.87718497429279563</v>
      </c>
      <c r="H3">
        <v>0.46351127243924511</v>
      </c>
      <c r="I3">
        <v>0.32412872873011878</v>
      </c>
      <c r="J3">
        <v>0.58969929614811833</v>
      </c>
      <c r="K3">
        <v>0.79900117194429576</v>
      </c>
      <c r="L3">
        <v>0.94077271555583186</v>
      </c>
      <c r="M3">
        <v>0.77574646003937853</v>
      </c>
      <c r="N3">
        <v>0.3441306353837526</v>
      </c>
      <c r="O3">
        <v>0.24861563944586479</v>
      </c>
      <c r="P3">
        <v>0.83299297046134479</v>
      </c>
      <c r="Q3">
        <v>0.91446845736830884</v>
      </c>
    </row>
    <row r="4" spans="1:17" x14ac:dyDescent="0.25">
      <c r="A4" s="1">
        <v>2</v>
      </c>
      <c r="B4">
        <v>0.52840712581124072</v>
      </c>
      <c r="C4">
        <v>0.39414745934641882</v>
      </c>
      <c r="D4">
        <v>-9.0607998816294361E-2</v>
      </c>
      <c r="E4">
        <v>0.332649983528858</v>
      </c>
      <c r="F4">
        <v>0.24819562894190869</v>
      </c>
      <c r="G4">
        <v>0.86238605184960615</v>
      </c>
      <c r="H4">
        <v>0.36082389429948231</v>
      </c>
      <c r="I4">
        <v>0.2769911985743454</v>
      </c>
      <c r="J4">
        <v>0.30573052972548892</v>
      </c>
      <c r="K4">
        <v>0.78597675155580948</v>
      </c>
      <c r="L4">
        <v>0.93412553547825927</v>
      </c>
      <c r="M4">
        <v>0.64506773680098095</v>
      </c>
      <c r="N4">
        <v>0.33871285975860521</v>
      </c>
      <c r="O4">
        <v>0.25419470594866628</v>
      </c>
      <c r="P4">
        <v>0.83821008378577</v>
      </c>
      <c r="Q4">
        <v>0.918696887385136</v>
      </c>
    </row>
    <row r="5" spans="1:17" x14ac:dyDescent="0.25">
      <c r="A5" s="1">
        <v>3</v>
      </c>
      <c r="B5">
        <v>0.54575979475866077</v>
      </c>
      <c r="C5">
        <v>0.4272272908953787</v>
      </c>
      <c r="D5">
        <v>-0.54695906233735403</v>
      </c>
      <c r="E5">
        <v>0.25887159440777341</v>
      </c>
      <c r="F5">
        <v>0.19247425965544299</v>
      </c>
      <c r="G5">
        <v>0.90645117079253834</v>
      </c>
      <c r="H5">
        <v>0.54462859099938488</v>
      </c>
      <c r="I5">
        <v>0.42493781834169808</v>
      </c>
      <c r="J5">
        <v>0.56211347484179919</v>
      </c>
      <c r="K5">
        <v>0.75675595745430213</v>
      </c>
      <c r="L5">
        <v>0.95518706311759116</v>
      </c>
      <c r="M5">
        <v>0.74983891164687066</v>
      </c>
      <c r="N5">
        <v>0.33889385359474461</v>
      </c>
      <c r="O5">
        <v>0.2409041677150795</v>
      </c>
      <c r="P5">
        <v>0.83803713020262027</v>
      </c>
      <c r="Q5">
        <v>0.91756929206740967</v>
      </c>
    </row>
    <row r="6" spans="1:17" x14ac:dyDescent="0.25">
      <c r="A6" s="1">
        <v>4</v>
      </c>
      <c r="B6">
        <v>0.48519021209903163</v>
      </c>
      <c r="C6">
        <v>0.38292333671533429</v>
      </c>
      <c r="D6">
        <v>0.29159279977387709</v>
      </c>
      <c r="E6">
        <v>0.28744318216445891</v>
      </c>
      <c r="F6">
        <v>0.21871738378467259</v>
      </c>
      <c r="G6">
        <v>0.88970400970829877</v>
      </c>
      <c r="H6">
        <v>0.39624947688425721</v>
      </c>
      <c r="I6">
        <v>0.30539551232544121</v>
      </c>
      <c r="J6">
        <v>0.69956443926683209</v>
      </c>
      <c r="K6">
        <v>0.7485816454648575</v>
      </c>
      <c r="L6">
        <v>0.94819146392372122</v>
      </c>
      <c r="M6">
        <v>0.85444075786706142</v>
      </c>
      <c r="N6">
        <v>0.31324353652144021</v>
      </c>
      <c r="O6">
        <v>0.23677532723066599</v>
      </c>
      <c r="P6">
        <v>0.86162669441394435</v>
      </c>
      <c r="Q6">
        <v>0.93168216740852317</v>
      </c>
    </row>
    <row r="7" spans="1:17" x14ac:dyDescent="0.25">
      <c r="A7" s="1">
        <v>5</v>
      </c>
      <c r="B7">
        <v>0.52806988761784779</v>
      </c>
      <c r="C7">
        <v>0.39239731681305828</v>
      </c>
      <c r="D7">
        <v>0.2574200634318472</v>
      </c>
      <c r="E7">
        <v>0.34074733269379698</v>
      </c>
      <c r="F7">
        <v>0.248619437787759</v>
      </c>
      <c r="G7">
        <v>0.8329531528927222</v>
      </c>
      <c r="H7">
        <v>0.46118033587648172</v>
      </c>
      <c r="I7">
        <v>0.34728360142408271</v>
      </c>
      <c r="J7">
        <v>0.71031440273100421</v>
      </c>
      <c r="K7">
        <v>0.7518516054471871</v>
      </c>
      <c r="L7">
        <v>0.92058571739360084</v>
      </c>
      <c r="M7">
        <v>0.84465906039456473</v>
      </c>
      <c r="N7">
        <v>0.36909250539987309</v>
      </c>
      <c r="O7">
        <v>0.26917447187865973</v>
      </c>
      <c r="P7">
        <v>0.80788621331181254</v>
      </c>
      <c r="Q7">
        <v>0.90223825761204424</v>
      </c>
    </row>
    <row r="8" spans="1:17" x14ac:dyDescent="0.25">
      <c r="A8" s="1">
        <v>6</v>
      </c>
      <c r="B8">
        <v>0.47555899224421683</v>
      </c>
      <c r="C8">
        <v>0.38523685561520499</v>
      </c>
      <c r="D8">
        <v>0.31562003274694173</v>
      </c>
      <c r="E8">
        <v>0.31736741159433263</v>
      </c>
      <c r="F8">
        <v>0.24962170675469131</v>
      </c>
      <c r="G8">
        <v>0.86057888471869359</v>
      </c>
      <c r="H8">
        <v>0.48029913821976422</v>
      </c>
      <c r="I8">
        <v>0.31333881647757578</v>
      </c>
      <c r="J8">
        <v>0.64553884976457443</v>
      </c>
      <c r="K8">
        <v>0.75037738952241728</v>
      </c>
      <c r="L8">
        <v>0.93350629065453572</v>
      </c>
      <c r="M8">
        <v>0.8700776577691004</v>
      </c>
      <c r="N8">
        <v>0.35748867789605621</v>
      </c>
      <c r="O8">
        <v>0.26289610461362561</v>
      </c>
      <c r="P8">
        <v>0.81977598429718235</v>
      </c>
      <c r="Q8">
        <v>0.91399929912586475</v>
      </c>
    </row>
    <row r="9" spans="1:17" x14ac:dyDescent="0.25">
      <c r="A9" s="1">
        <v>7</v>
      </c>
      <c r="B9">
        <v>0.51656894290294653</v>
      </c>
      <c r="C9">
        <v>0.38863253734812198</v>
      </c>
      <c r="D9">
        <v>8.6213322095753442E-2</v>
      </c>
      <c r="E9">
        <v>0.25930862500685548</v>
      </c>
      <c r="F9">
        <v>0.19734122391159231</v>
      </c>
      <c r="G9">
        <v>0.89227711855126157</v>
      </c>
      <c r="H9">
        <v>0.57243642737652956</v>
      </c>
      <c r="I9">
        <v>0.44940528068964009</v>
      </c>
      <c r="J9">
        <v>0.59767615395931606</v>
      </c>
      <c r="K9">
        <v>0.75707138879561042</v>
      </c>
      <c r="L9">
        <v>0.95041516616042765</v>
      </c>
      <c r="M9">
        <v>0.7919385389753355</v>
      </c>
      <c r="N9">
        <v>0.34856823901461531</v>
      </c>
      <c r="O9">
        <v>0.2498545690736855</v>
      </c>
      <c r="P9">
        <v>0.82865805064175746</v>
      </c>
      <c r="Q9">
        <v>0.91449884935780601</v>
      </c>
    </row>
    <row r="10" spans="1:17" x14ac:dyDescent="0.25">
      <c r="A10" s="1">
        <v>8</v>
      </c>
      <c r="B10">
        <v>0.44763044110936379</v>
      </c>
      <c r="C10">
        <v>0.35714725239848022</v>
      </c>
      <c r="D10">
        <v>0.48614816974469571</v>
      </c>
      <c r="E10">
        <v>0.28632620106012052</v>
      </c>
      <c r="F10">
        <v>0.22225549093133279</v>
      </c>
      <c r="G10">
        <v>0.89476272797242429</v>
      </c>
      <c r="H10">
        <v>0.55229086846213482</v>
      </c>
      <c r="I10">
        <v>0.3724528308332074</v>
      </c>
      <c r="J10">
        <v>0.29211940062892883</v>
      </c>
      <c r="K10">
        <v>0.80507305499710924</v>
      </c>
      <c r="L10">
        <v>0.94912637276197009</v>
      </c>
      <c r="M10">
        <v>0.64904679340874449</v>
      </c>
      <c r="N10">
        <v>0.35839905551111279</v>
      </c>
      <c r="O10">
        <v>0.25354660341089003</v>
      </c>
      <c r="P10">
        <v>0.81885690164191949</v>
      </c>
      <c r="Q10">
        <v>0.90863908730388687</v>
      </c>
    </row>
    <row r="11" spans="1:17" x14ac:dyDescent="0.25">
      <c r="A11" s="1">
        <v>9</v>
      </c>
      <c r="B11">
        <v>0.50368843664678431</v>
      </c>
      <c r="C11">
        <v>0.37874708624143771</v>
      </c>
      <c r="D11">
        <v>8.3333288051674503E-2</v>
      </c>
      <c r="E11">
        <v>0.24507407655111879</v>
      </c>
      <c r="F11">
        <v>0.19029249104222659</v>
      </c>
      <c r="G11">
        <v>0.91539769809990779</v>
      </c>
      <c r="H11">
        <v>0.48806441523005972</v>
      </c>
      <c r="I11">
        <v>0.39052646728332863</v>
      </c>
      <c r="J11">
        <v>0.66245649323833944</v>
      </c>
      <c r="K11">
        <v>0.75071632689674395</v>
      </c>
      <c r="L11">
        <v>0.96092402376285113</v>
      </c>
      <c r="M11">
        <v>0.84834665770838402</v>
      </c>
      <c r="N11">
        <v>0.31172899047219882</v>
      </c>
      <c r="O11">
        <v>0.23200790275912289</v>
      </c>
      <c r="P11">
        <v>0.86296154140857206</v>
      </c>
      <c r="Q11">
        <v>0.93034785441170875</v>
      </c>
    </row>
    <row r="12" spans="1:17" x14ac:dyDescent="0.25">
      <c r="B12">
        <f>AVERAGE(B2:B11)</f>
        <v>0.50061477264211507</v>
      </c>
      <c r="C12">
        <f t="shared" ref="C12:Q12" si="0">AVERAGE(C2:C11)</f>
        <v>0.3902794863071562</v>
      </c>
      <c r="D12">
        <f t="shared" si="0"/>
        <v>0.18511880378367235</v>
      </c>
      <c r="E12">
        <f t="shared" si="0"/>
        <v>0.29706005562765725</v>
      </c>
      <c r="F12">
        <f t="shared" si="0"/>
        <v>0.22395188015385609</v>
      </c>
      <c r="G12">
        <f t="shared" si="0"/>
        <v>0.87570367032624108</v>
      </c>
      <c r="H12">
        <f t="shared" si="0"/>
        <v>0.47838745995972615</v>
      </c>
      <c r="I12">
        <f t="shared" si="0"/>
        <v>0.35667654310409658</v>
      </c>
      <c r="J12">
        <f t="shared" si="0"/>
        <v>0.581521633018238</v>
      </c>
      <c r="K12">
        <f t="shared" si="0"/>
        <v>0.76680190659447423</v>
      </c>
      <c r="L12">
        <f t="shared" si="0"/>
        <v>0.94091382959731951</v>
      </c>
      <c r="M12">
        <f t="shared" si="0"/>
        <v>0.79003451446887807</v>
      </c>
      <c r="N12">
        <f t="shared" si="0"/>
        <v>0.34480176099888038</v>
      </c>
      <c r="O12">
        <f t="shared" si="0"/>
        <v>0.25160285160182283</v>
      </c>
      <c r="P12">
        <f t="shared" si="0"/>
        <v>0.83182771971189751</v>
      </c>
      <c r="Q12">
        <f t="shared" si="0"/>
        <v>0.91533820787369335</v>
      </c>
    </row>
    <row r="13" spans="1:17" x14ac:dyDescent="0.25">
      <c r="B13">
        <f>STDEV(B2:B11)</f>
        <v>3.2069306075528277E-2</v>
      </c>
      <c r="C13">
        <f t="shared" ref="C13:Q13" si="1">STDEV(C2:C11)</f>
        <v>1.9498547209269093E-2</v>
      </c>
      <c r="D13">
        <f t="shared" si="1"/>
        <v>0.32275509333844804</v>
      </c>
      <c r="E13">
        <f t="shared" si="1"/>
        <v>3.51222364528248E-2</v>
      </c>
      <c r="F13">
        <f t="shared" si="1"/>
        <v>2.3835205205705003E-2</v>
      </c>
      <c r="G13">
        <f t="shared" si="1"/>
        <v>3.0050489518996963E-2</v>
      </c>
      <c r="H13">
        <f t="shared" si="1"/>
        <v>6.6727686773546679E-2</v>
      </c>
      <c r="I13">
        <f t="shared" si="1"/>
        <v>5.4456766724418015E-2</v>
      </c>
      <c r="J13">
        <f t="shared" si="1"/>
        <v>0.15988722069237019</v>
      </c>
      <c r="K13">
        <f t="shared" si="1"/>
        <v>2.1515608675804314E-2</v>
      </c>
      <c r="L13">
        <f t="shared" si="1"/>
        <v>1.4661625009638071E-2</v>
      </c>
      <c r="M13">
        <f t="shared" si="1"/>
        <v>8.5790822732509514E-2</v>
      </c>
      <c r="N13">
        <f t="shared" si="1"/>
        <v>2.0108803145912405E-2</v>
      </c>
      <c r="O13">
        <f t="shared" si="1"/>
        <v>1.2683585872114076E-2</v>
      </c>
      <c r="P13">
        <f t="shared" si="1"/>
        <v>1.9274188857373035E-2</v>
      </c>
      <c r="Q13">
        <f t="shared" si="1"/>
        <v>1.014954125294633E-2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2025-01-21T18:25:57Z</dcterms:created>
  <dcterms:modified xsi:type="dcterms:W3CDTF">2025-01-22T01:00:49Z</dcterms:modified>
</cp:coreProperties>
</file>