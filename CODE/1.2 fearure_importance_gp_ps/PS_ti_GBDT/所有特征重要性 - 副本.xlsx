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1.2 ML_特征重要性排序（总）\GBDT（速率最佳）\"/>
    </mc:Choice>
  </mc:AlternateContent>
  <xr:revisionPtr revIDLastSave="0" documentId="13_ncr:1_{E6CA9A04-F651-436E-BA82-31E339CBB39A}" xr6:coauthVersionLast="47" xr6:coauthVersionMax="47" xr10:uidLastSave="{00000000-0000-0000-0000-000000000000}"/>
  <bookViews>
    <workbookView xWindow="10044" yWindow="1260" windowWidth="11052" windowHeight="10224" activeTab="2" xr2:uid="{00000000-000D-0000-FFFF-FFFF00000000}"/>
  </bookViews>
  <sheets>
    <sheet name="SHAP" sheetId="1" r:id="rId1"/>
    <sheet name="PFI" sheetId="2" r:id="rId2"/>
    <sheet name="GBD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E13" i="2"/>
  <c r="C13" i="2"/>
  <c r="D13" i="2"/>
  <c r="C12" i="2"/>
  <c r="D12" i="2"/>
  <c r="E12" i="2"/>
  <c r="B13" i="2"/>
  <c r="B12" i="2"/>
  <c r="C13" i="3"/>
  <c r="D13" i="3"/>
  <c r="E13" i="3"/>
  <c r="B13" i="3"/>
  <c r="C12" i="3"/>
  <c r="D12" i="3"/>
  <c r="E12" i="3"/>
  <c r="B12" i="3"/>
  <c r="E13" i="1"/>
  <c r="D13" i="1"/>
  <c r="C13" i="1"/>
  <c r="B13" i="1"/>
  <c r="E12" i="1"/>
  <c r="D12" i="1"/>
  <c r="C12" i="1"/>
</calcChain>
</file>

<file path=xl/sharedStrings.xml><?xml version="1.0" encoding="utf-8"?>
<sst xmlns="http://schemas.openxmlformats.org/spreadsheetml/2006/main" count="16" uniqueCount="4">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</sst>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opLeftCell="A10" workbookViewId="0">
      <selection activeCell="B13" sqref="B13:E13"/>
    </sheetView>
  </sheetViews>
  <sheetFormatPr defaultRowHeight="13.8" x14ac:dyDescent="0.25"/>
  <sheetData>
    <row r="1" spans="1:5" ht="14.4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25">
      <c r="A2" s="1">
        <v>1</v>
      </c>
      <c r="B2">
        <v>0.38340616863054933</v>
      </c>
      <c r="C2">
        <v>0.37107015424239548</v>
      </c>
      <c r="D2">
        <v>7.0676754471800857E-2</v>
      </c>
      <c r="E2">
        <v>5.0170042100289337E-2</v>
      </c>
    </row>
    <row r="3" spans="1:5" ht="14.4" x14ac:dyDescent="0.25">
      <c r="A3" s="1">
        <v>2</v>
      </c>
      <c r="B3">
        <v>0.44555562805738741</v>
      </c>
      <c r="C3">
        <v>0.44953428769556208</v>
      </c>
      <c r="D3">
        <v>6.8283905346034374E-2</v>
      </c>
      <c r="E3">
        <v>0.1163716508901993</v>
      </c>
    </row>
    <row r="4" spans="1:5" ht="14.4" x14ac:dyDescent="0.25">
      <c r="A4" s="1">
        <v>3</v>
      </c>
      <c r="B4">
        <v>0.51660818611328019</v>
      </c>
      <c r="C4">
        <v>0.45685931492312659</v>
      </c>
      <c r="D4">
        <v>6.0523532049143333E-2</v>
      </c>
      <c r="E4">
        <v>5.2133188756200183E-2</v>
      </c>
    </row>
    <row r="5" spans="1:5" ht="14.4" x14ac:dyDescent="0.25">
      <c r="A5" s="1">
        <v>4</v>
      </c>
      <c r="B5">
        <v>0.36617220354288321</v>
      </c>
      <c r="C5">
        <v>0.40467743529138478</v>
      </c>
      <c r="D5">
        <v>4.5602285680619803E-2</v>
      </c>
      <c r="E5">
        <v>6.3759431846645412E-2</v>
      </c>
    </row>
    <row r="6" spans="1:5" ht="14.4" x14ac:dyDescent="0.25">
      <c r="A6" s="1">
        <v>5</v>
      </c>
      <c r="B6">
        <v>0.4597691250512006</v>
      </c>
      <c r="C6">
        <v>0.44710708297193541</v>
      </c>
      <c r="D6">
        <v>6.7244331055776249E-2</v>
      </c>
      <c r="E6">
        <v>7.1818641473626002E-2</v>
      </c>
    </row>
    <row r="7" spans="1:5" ht="14.4" x14ac:dyDescent="0.25">
      <c r="A7" s="1">
        <v>6</v>
      </c>
      <c r="B7">
        <v>0.43484906167599069</v>
      </c>
      <c r="C7">
        <v>0.38459888436053541</v>
      </c>
      <c r="D7">
        <v>6.0090413961222083E-2</v>
      </c>
      <c r="E7">
        <v>8.4030556320778022E-2</v>
      </c>
    </row>
    <row r="8" spans="1:5" ht="14.4" x14ac:dyDescent="0.25">
      <c r="A8" s="1">
        <v>7</v>
      </c>
      <c r="B8">
        <v>0.39925364177809552</v>
      </c>
      <c r="C8">
        <v>0.45818343314860338</v>
      </c>
      <c r="D8">
        <v>5.7678329780104731E-2</v>
      </c>
      <c r="E8">
        <v>6.9557955868673541E-2</v>
      </c>
    </row>
    <row r="9" spans="1:5" ht="14.4" x14ac:dyDescent="0.25">
      <c r="A9" s="1">
        <v>8</v>
      </c>
      <c r="B9">
        <v>0.34088569284279407</v>
      </c>
      <c r="C9">
        <v>0.34360559671329338</v>
      </c>
      <c r="D9">
        <v>4.5388102392890269E-2</v>
      </c>
      <c r="E9">
        <v>8.1728274503360621E-2</v>
      </c>
    </row>
    <row r="10" spans="1:5" ht="14.4" x14ac:dyDescent="0.25">
      <c r="A10" s="1">
        <v>9</v>
      </c>
      <c r="B10">
        <v>0.41502115540840212</v>
      </c>
      <c r="C10">
        <v>0.49463826837631319</v>
      </c>
      <c r="D10">
        <v>8.5467756826379249E-2</v>
      </c>
      <c r="E10">
        <v>5.1873432464836902E-2</v>
      </c>
    </row>
    <row r="11" spans="1:5" ht="14.4" x14ac:dyDescent="0.25">
      <c r="A11" s="1">
        <v>10</v>
      </c>
      <c r="B11">
        <v>0.43428697707266062</v>
      </c>
      <c r="C11">
        <v>0.3742180616721178</v>
      </c>
      <c r="D11">
        <v>5.3749292576739563E-2</v>
      </c>
      <c r="E11">
        <v>7.0168042252706356E-2</v>
      </c>
    </row>
    <row r="12" spans="1:5" x14ac:dyDescent="0.25">
      <c r="B12">
        <f>AVERAGE(B2:B11)</f>
        <v>0.41958078401732435</v>
      </c>
      <c r="C12">
        <f t="shared" ref="C12:E12" si="0">AVERAGE(C2:C11)</f>
        <v>0.41844925193952676</v>
      </c>
      <c r="D12">
        <f t="shared" si="0"/>
        <v>6.1470470414071054E-2</v>
      </c>
      <c r="E12">
        <f t="shared" si="0"/>
        <v>7.1161121647731557E-2</v>
      </c>
    </row>
    <row r="13" spans="1:5" x14ac:dyDescent="0.25">
      <c r="B13">
        <f>STDEV(B2:B11)</f>
        <v>5.0488154846902319E-2</v>
      </c>
      <c r="C13">
        <f t="shared" ref="C13:E13" si="1">STDEV(C2:C11)</f>
        <v>4.9198820204364925E-2</v>
      </c>
      <c r="D13">
        <f t="shared" si="1"/>
        <v>1.2145533231764311E-2</v>
      </c>
      <c r="E13">
        <f t="shared" si="1"/>
        <v>1.9873922944408581E-2</v>
      </c>
    </row>
    <row r="15" spans="1:5" ht="14.4" x14ac:dyDescent="0.25">
      <c r="B15" s="1" t="s">
        <v>0</v>
      </c>
      <c r="C15" s="1" t="s">
        <v>1</v>
      </c>
      <c r="D15" s="1" t="s">
        <v>2</v>
      </c>
      <c r="E15" s="1" t="s">
        <v>3</v>
      </c>
    </row>
    <row r="16" spans="1:5" x14ac:dyDescent="0.25">
      <c r="B16">
        <v>0.41958078401732435</v>
      </c>
      <c r="C16">
        <v>0.41844925193952676</v>
      </c>
      <c r="D16">
        <v>6.1470470414071054E-2</v>
      </c>
      <c r="E16">
        <v>7.1161121647731557E-2</v>
      </c>
    </row>
    <row r="17" spans="2:5" x14ac:dyDescent="0.25">
      <c r="B17">
        <v>0.55814536961490557</v>
      </c>
      <c r="C17">
        <v>0.63180187425395595</v>
      </c>
      <c r="D17">
        <v>3.7268414016600013E-2</v>
      </c>
      <c r="E17">
        <v>4.3841550164211131E-2</v>
      </c>
    </row>
    <row r="18" spans="2:5" x14ac:dyDescent="0.25">
      <c r="B18">
        <v>3.8414785851416795</v>
      </c>
      <c r="C18">
        <v>5.2857371893975467</v>
      </c>
      <c r="D18">
        <v>0.37691198565916556</v>
      </c>
      <c r="E18">
        <v>0.49587223980160816</v>
      </c>
    </row>
    <row r="20" spans="2:5" ht="14.4" x14ac:dyDescent="0.25">
      <c r="B20" s="1"/>
    </row>
    <row r="21" spans="2:5" ht="14.4" x14ac:dyDescent="0.25">
      <c r="B21" s="1"/>
    </row>
    <row r="22" spans="2:5" ht="14.4" x14ac:dyDescent="0.25">
      <c r="B22" s="1"/>
    </row>
    <row r="23" spans="2:5" ht="14.4" x14ac:dyDescent="0.25">
      <c r="B2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2F3F-593A-4DF9-B8DA-B460FAC7C822}">
  <dimension ref="A1:E13"/>
  <sheetViews>
    <sheetView workbookViewId="0">
      <selection activeCell="D18" sqref="D18"/>
    </sheetView>
  </sheetViews>
  <sheetFormatPr defaultRowHeight="13.8" x14ac:dyDescent="0.25"/>
  <sheetData>
    <row r="1" spans="1:5" ht="14.4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25">
      <c r="A2" s="1">
        <v>1</v>
      </c>
      <c r="B2">
        <v>0.54533220442118391</v>
      </c>
      <c r="C2">
        <v>0.57222741058617599</v>
      </c>
      <c r="D2">
        <v>2.2283542094270421E-2</v>
      </c>
      <c r="E2">
        <v>2.715328566507343E-2</v>
      </c>
    </row>
    <row r="3" spans="1:5" ht="14.4" x14ac:dyDescent="0.25">
      <c r="A3" s="1">
        <v>2</v>
      </c>
      <c r="B3">
        <v>0.57992378852028037</v>
      </c>
      <c r="C3">
        <v>0.72376280311021168</v>
      </c>
      <c r="D3">
        <v>6.5691629463238393E-2</v>
      </c>
      <c r="E3">
        <v>7.9554343979640341E-2</v>
      </c>
    </row>
    <row r="4" spans="1:5" ht="14.4" x14ac:dyDescent="0.25">
      <c r="A4" s="1">
        <v>3</v>
      </c>
      <c r="B4">
        <v>0.73644552132115793</v>
      </c>
      <c r="C4">
        <v>0.64856504893788891</v>
      </c>
      <c r="D4">
        <v>5.8032506223955227E-2</v>
      </c>
      <c r="E4">
        <v>3.9047931146893547E-2</v>
      </c>
    </row>
    <row r="5" spans="1:5" ht="14.4" x14ac:dyDescent="0.25">
      <c r="A5" s="1">
        <v>4</v>
      </c>
      <c r="B5">
        <v>0.37796535875988041</v>
      </c>
      <c r="C5">
        <v>0.63625259669704881</v>
      </c>
      <c r="D5">
        <v>2.2489687574604351E-2</v>
      </c>
      <c r="E5">
        <v>2.5229486743089721E-2</v>
      </c>
    </row>
    <row r="6" spans="1:5" ht="14.4" x14ac:dyDescent="0.25">
      <c r="A6" s="1">
        <v>5</v>
      </c>
      <c r="B6">
        <v>0.52614747899412806</v>
      </c>
      <c r="C6">
        <v>0.62879176023199945</v>
      </c>
      <c r="D6">
        <v>4.5879258712818782E-2</v>
      </c>
      <c r="E6">
        <v>3.938409083122954E-2</v>
      </c>
    </row>
    <row r="7" spans="1:5" ht="14.4" x14ac:dyDescent="0.25">
      <c r="A7" s="1">
        <v>6</v>
      </c>
      <c r="B7">
        <v>0.63614705891178691</v>
      </c>
      <c r="C7">
        <v>0.568168434254962</v>
      </c>
      <c r="D7">
        <v>4.8341534104769428E-2</v>
      </c>
      <c r="E7">
        <v>4.4265293935240778E-2</v>
      </c>
    </row>
    <row r="8" spans="1:5" ht="14.4" x14ac:dyDescent="0.25">
      <c r="A8" s="1">
        <v>7</v>
      </c>
      <c r="B8">
        <v>0.57651824908555871</v>
      </c>
      <c r="C8">
        <v>0.73823536522434274</v>
      </c>
      <c r="D8">
        <v>2.3551674110073129E-2</v>
      </c>
      <c r="E8">
        <v>3.7573947671051357E-2</v>
      </c>
    </row>
    <row r="9" spans="1:5" ht="14.4" x14ac:dyDescent="0.25">
      <c r="A9" s="1">
        <v>8</v>
      </c>
      <c r="B9">
        <v>0.37734960737876277</v>
      </c>
      <c r="C9">
        <v>0.4883257649390268</v>
      </c>
      <c r="D9">
        <v>1.2161408665892321E-2</v>
      </c>
      <c r="E9">
        <v>4.3300721402692463E-2</v>
      </c>
    </row>
    <row r="10" spans="1:5" ht="14.4" x14ac:dyDescent="0.25">
      <c r="A10" s="1">
        <v>9</v>
      </c>
      <c r="B10">
        <v>0.56356685649164684</v>
      </c>
      <c r="C10">
        <v>0.67725110232972119</v>
      </c>
      <c r="D10">
        <v>3.01558864999295E-2</v>
      </c>
      <c r="E10">
        <v>1.5660218371528981E-2</v>
      </c>
    </row>
    <row r="11" spans="1:5" ht="14.4" x14ac:dyDescent="0.25">
      <c r="A11" s="1">
        <v>10</v>
      </c>
      <c r="B11">
        <v>0.66205757226466955</v>
      </c>
      <c r="C11">
        <v>0.63643845622818329</v>
      </c>
      <c r="D11">
        <v>4.4097012716448621E-2</v>
      </c>
      <c r="E11">
        <v>8.7246181895671113E-2</v>
      </c>
    </row>
    <row r="12" spans="1:5" x14ac:dyDescent="0.25">
      <c r="B12">
        <f>AVERAGE(B2:B11)</f>
        <v>0.55814536961490557</v>
      </c>
      <c r="C12">
        <f t="shared" ref="C12:E12" si="0">AVERAGE(C2:C11)</f>
        <v>0.63180187425395595</v>
      </c>
      <c r="D12">
        <f t="shared" si="0"/>
        <v>3.7268414016600013E-2</v>
      </c>
      <c r="E12">
        <f t="shared" si="0"/>
        <v>4.3841550164211131E-2</v>
      </c>
    </row>
    <row r="13" spans="1:5" x14ac:dyDescent="0.25">
      <c r="B13">
        <f>STDEV(B2:B11)</f>
        <v>0.11345787000855657</v>
      </c>
      <c r="C13">
        <f t="shared" ref="C13:E13" si="1">STDEV(C2:C11)</f>
        <v>7.4807627177291405E-2</v>
      </c>
      <c r="D13">
        <f t="shared" si="1"/>
        <v>1.7620924926504904E-2</v>
      </c>
      <c r="E13">
        <f t="shared" si="1"/>
        <v>2.2757325703983495E-2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C804-578F-4774-A527-07FAF5611314}">
  <dimension ref="A1:E13"/>
  <sheetViews>
    <sheetView tabSelected="1" workbookViewId="0">
      <selection activeCell="C16" sqref="C16"/>
    </sheetView>
  </sheetViews>
  <sheetFormatPr defaultRowHeight="13.8" x14ac:dyDescent="0.25"/>
  <sheetData>
    <row r="1" spans="1:5" ht="14.4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25">
      <c r="A2" s="1">
        <v>1</v>
      </c>
      <c r="B2">
        <v>0.3198878477490758</v>
      </c>
      <c r="C2">
        <v>0.61892063539658149</v>
      </c>
      <c r="D2">
        <v>3.017114968635971E-2</v>
      </c>
      <c r="E2">
        <v>3.102036716798286E-2</v>
      </c>
    </row>
    <row r="3" spans="1:5" ht="14.4" x14ac:dyDescent="0.25">
      <c r="A3" s="1">
        <v>2</v>
      </c>
      <c r="B3">
        <v>0.39178865335756002</v>
      </c>
      <c r="C3">
        <v>0.41194775563561781</v>
      </c>
      <c r="D3">
        <v>8.2641085531816233E-2</v>
      </c>
      <c r="E3">
        <v>0.11362250547500589</v>
      </c>
    </row>
    <row r="4" spans="1:5" ht="14.4" x14ac:dyDescent="0.25">
      <c r="A4" s="1">
        <v>3</v>
      </c>
      <c r="B4">
        <v>0.44470096533003278</v>
      </c>
      <c r="C4">
        <v>0.48675102430494199</v>
      </c>
      <c r="D4">
        <v>3.8031034862567287E-2</v>
      </c>
      <c r="E4">
        <v>3.0516975502457879E-2</v>
      </c>
    </row>
    <row r="5" spans="1:5" ht="14.4" x14ac:dyDescent="0.25">
      <c r="A5" s="1">
        <v>4</v>
      </c>
      <c r="B5">
        <v>0.38552432509466722</v>
      </c>
      <c r="C5">
        <v>0.54931850767071977</v>
      </c>
      <c r="D5">
        <v>3.021740738790013E-2</v>
      </c>
      <c r="E5">
        <v>3.4939759846712798E-2</v>
      </c>
    </row>
    <row r="6" spans="1:5" ht="14.4" x14ac:dyDescent="0.25">
      <c r="A6" s="1">
        <v>5</v>
      </c>
      <c r="B6">
        <v>0.43187183184474481</v>
      </c>
      <c r="C6">
        <v>0.51658521737961238</v>
      </c>
      <c r="D6">
        <v>2.5556461337206449E-2</v>
      </c>
      <c r="E6">
        <v>2.598648943843657E-2</v>
      </c>
    </row>
    <row r="7" spans="1:5" ht="14.4" x14ac:dyDescent="0.25">
      <c r="A7" s="1">
        <v>6</v>
      </c>
      <c r="B7">
        <v>0.43191449548235727</v>
      </c>
      <c r="C7">
        <v>0.44798278908632899</v>
      </c>
      <c r="D7">
        <v>5.8559619815535292E-2</v>
      </c>
      <c r="E7">
        <v>6.1543095615778289E-2</v>
      </c>
    </row>
    <row r="8" spans="1:5" ht="14.4" x14ac:dyDescent="0.25">
      <c r="A8" s="1">
        <v>7</v>
      </c>
      <c r="B8">
        <v>0.41712773877198189</v>
      </c>
      <c r="C8">
        <v>0.51926508837530139</v>
      </c>
      <c r="D8">
        <v>2.7118259542056111E-2</v>
      </c>
      <c r="E8">
        <v>3.6488913310660787E-2</v>
      </c>
    </row>
    <row r="9" spans="1:5" ht="14.4" x14ac:dyDescent="0.25">
      <c r="A9" s="1">
        <v>8</v>
      </c>
      <c r="B9">
        <v>0.30499594216479231</v>
      </c>
      <c r="C9">
        <v>0.59678067290238257</v>
      </c>
      <c r="D9">
        <v>2.4869238008630331E-2</v>
      </c>
      <c r="E9">
        <v>7.3354146924194868E-2</v>
      </c>
    </row>
    <row r="10" spans="1:5" ht="14.4" x14ac:dyDescent="0.25">
      <c r="A10" s="1">
        <v>9</v>
      </c>
      <c r="B10">
        <v>0.32332890226581262</v>
      </c>
      <c r="C10">
        <v>0.63073774230276525</v>
      </c>
      <c r="D10">
        <v>2.916038029630796E-2</v>
      </c>
      <c r="E10">
        <v>1.677297513511411E-2</v>
      </c>
    </row>
    <row r="11" spans="1:5" ht="14.4" x14ac:dyDescent="0.25">
      <c r="A11" s="1">
        <v>10</v>
      </c>
      <c r="B11">
        <v>0.39033788308065442</v>
      </c>
      <c r="C11">
        <v>0.50744775634329542</v>
      </c>
      <c r="D11">
        <v>3.058734919078606E-2</v>
      </c>
      <c r="E11">
        <v>7.1627011385264103E-2</v>
      </c>
    </row>
    <row r="12" spans="1:5" x14ac:dyDescent="0.25">
      <c r="B12">
        <f>SUM(B2:B11)</f>
        <v>3.8414785851416795</v>
      </c>
      <c r="C12">
        <f t="shared" ref="C12:E12" si="0">SUM(C2:C11)</f>
        <v>5.2857371893975467</v>
      </c>
      <c r="D12">
        <f t="shared" si="0"/>
        <v>0.37691198565916556</v>
      </c>
      <c r="E12">
        <f t="shared" si="0"/>
        <v>0.49587223980160816</v>
      </c>
    </row>
    <row r="13" spans="1:5" x14ac:dyDescent="0.25">
      <c r="B13">
        <f>STDEV(B2:B11)</f>
        <v>5.1105004733444988E-2</v>
      </c>
      <c r="C13">
        <f t="shared" ref="C13:E13" si="1">STDEV(C2:C11)</f>
        <v>7.1651099051330339E-2</v>
      </c>
      <c r="D13">
        <f t="shared" si="1"/>
        <v>1.8604624927298426E-2</v>
      </c>
      <c r="E13">
        <f t="shared" si="1"/>
        <v>2.9855885503486074E-2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SHAP</vt:lpstr>
      <vt:lpstr>PFI</vt:lpstr>
      <vt:lpstr>GBDT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KJ W</cp:lastModifiedBy>
  <dcterms:created xsi:type="dcterms:W3CDTF">2015-06-05T18:19:34Z</dcterms:created>
  <dcterms:modified xsi:type="dcterms:W3CDTF">2025-01-25T14:14:07Z</dcterms:modified>
</cp:coreProperties>
</file>